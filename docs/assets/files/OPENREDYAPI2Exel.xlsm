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GIT\openredy\openredy-api-tp-bat4-2018\docs\assets\files\"/>
    </mc:Choice>
  </mc:AlternateContent>
  <xr:revisionPtr revIDLastSave="0" documentId="10_ncr:8100000_{2C38C9D1-CA33-4EC6-8943-750A0E3FA218}" xr6:coauthVersionLast="32" xr6:coauthVersionMax="32" xr10:uidLastSave="{00000000-0000-0000-0000-000000000000}"/>
  <bookViews>
    <workbookView xWindow="0" yWindow="0" windowWidth="24047" windowHeight="9927" activeTab="2" xr2:uid="{00000000-000D-0000-FFFF-FFFF00000000}"/>
  </bookViews>
  <sheets>
    <sheet name="Home" sheetId="5" r:id="rId1"/>
    <sheet name="Données" sheetId="8" r:id="rId2"/>
    <sheet name="Points" sheetId="10" r:id="rId3"/>
  </sheets>
  <functionGroups builtInGroupCount="19"/>
  <definedNames>
    <definedName name="CAPTURE" localSheetId="1">Données!$A$2:$I$8</definedName>
    <definedName name="CAPTURE" localSheetId="2">Points!$A$2:$I$8</definedName>
    <definedName name="CAPTURE_16" localSheetId="1">Données!$A$3:$N$22</definedName>
    <definedName name="CAPTURE_17" localSheetId="1">Données!$A$3:$N$22</definedName>
    <definedName name="CAPTURE_18" localSheetId="1">Données!$A$3:$N$22</definedName>
    <definedName name="CAPTURE_19" localSheetId="1">Données!$A$3:$N$22</definedName>
    <definedName name="CAPTURE_20" localSheetId="1">Données!$A$3:$N$22</definedName>
    <definedName name="CAPTURE_21" localSheetId="1">Données!$A$3:$N$22</definedName>
    <definedName name="CAPTURE_22" localSheetId="1">Données!$A$3:$N$22</definedName>
    <definedName name="CAPTURE_23" localSheetId="1">Données!$A$3:$N$22</definedName>
    <definedName name="CAPTURE_24" localSheetId="1">Données!$A$3:$A$4</definedName>
    <definedName name="CAPTURE_24" localSheetId="2">Points!$A$3:$A$4</definedName>
    <definedName name="CAPTURE_25" localSheetId="1">Données!$A$3:$A$4</definedName>
    <definedName name="CAPTURE_25" localSheetId="2">Points!$A$3:$A$4</definedName>
    <definedName name="CAPTURE_26" localSheetId="1">Données!$A$3:$S$41</definedName>
    <definedName name="CAPTURE_27" localSheetId="1">Données!$A$3:$S$42</definedName>
    <definedName name="CAPTURE_28" localSheetId="1">Données!$A$3:$S$42</definedName>
    <definedName name="CAPTURE_29" localSheetId="1">Données!$A$3:$S$42</definedName>
    <definedName name="CAPTURE_30" localSheetId="1">Données!$A$3:$S$42</definedName>
    <definedName name="CAPTURE_31" localSheetId="1">Données!$A$3:$I$9</definedName>
    <definedName name="CAPTURE_31" localSheetId="2">Points!$A$3:$I$9</definedName>
    <definedName name="CAPTURE_32" localSheetId="1">Données!$A$3:$I$9</definedName>
    <definedName name="CAPTURE_32" localSheetId="2">Points!$A$3:$I$9</definedName>
    <definedName name="CAPTURE_33" localSheetId="1">Données!$A$3:$I$11</definedName>
    <definedName name="CAPTURE_33" localSheetId="2">Points!$A$3:$D$3</definedName>
    <definedName name="CAPTURE_34" localSheetId="1">Données!$A$3:$I$11</definedName>
    <definedName name="CAPTURE_34" localSheetId="2">Points!$A$3:$D$3</definedName>
    <definedName name="CAPTURE_35" localSheetId="1">Données!$A$3:$I$13</definedName>
    <definedName name="CAPTURE_35" localSheetId="2">Points!$A$3:$D$3</definedName>
    <definedName name="CAPTURE_36" localSheetId="1">Données!$A$3:$I$36</definedName>
    <definedName name="CAPTURE_36" localSheetId="2">Points!$A$3:$D$3</definedName>
    <definedName name="CAPTURE_37" localSheetId="1">Données!$A$3:$I$36</definedName>
    <definedName name="CAPTURE_37" localSheetId="2">Points!$A$3:$D$103</definedName>
    <definedName name="CAPTURE_38" localSheetId="1">Données!$A$3:$I$36</definedName>
    <definedName name="CAPTURE_38" localSheetId="2">Points!$A$3:$D$121</definedName>
    <definedName name="CAPTURE_39" localSheetId="1">Données!$A$3:$I$36</definedName>
    <definedName name="CAPTURE_39" localSheetId="2">Points!$A$3:$D$121</definedName>
    <definedName name="CAPTURE_40" localSheetId="1">Données!$A$3:$I$36</definedName>
    <definedName name="CAPTURE_40" localSheetId="2">Points!$A$3:$D$119</definedName>
    <definedName name="CAPTURE_41" localSheetId="1">Données!$A$3:$I$36</definedName>
    <definedName name="CAPTURE_41" localSheetId="2">Points!$A$3:$D$119</definedName>
    <definedName name="CAPTURE_42" localSheetId="1">Données!$A$3:$I$36</definedName>
    <definedName name="CAPTURE_42" localSheetId="2">Points!$A$3:$D$119</definedName>
    <definedName name="CAPTURE_43" localSheetId="1">Données!$A$3:$I$36</definedName>
    <definedName name="CAPTURE_43" localSheetId="2">Points!$A$3:$D$119</definedName>
    <definedName name="CAPTURE_44" localSheetId="1">Données!$A$3:$I$36</definedName>
    <definedName name="CAPTURE_44" localSheetId="2">Points!$A$3:$D$116</definedName>
    <definedName name="CAPTURE_45" localSheetId="1">Données!$A$3:$I$4</definedName>
    <definedName name="CAPTURE_45" localSheetId="2">Points!$A$3:$D$119</definedName>
    <definedName name="CAPTURE_46" localSheetId="1">Données!$A$3:$I$4</definedName>
    <definedName name="CAPTURE_46" localSheetId="2">Points!$A$3:$D$119</definedName>
    <definedName name="CAPTURE_47" localSheetId="1">Données!$A$3:$I$4</definedName>
    <definedName name="CAPTURE_47" localSheetId="2">Points!$A$3:$D$119</definedName>
    <definedName name="CAPTURE_48" localSheetId="1">Données!$A$3:$I$4</definedName>
    <definedName name="CAPTURE_48" localSheetId="2">Points!$A$3:$D$119</definedName>
    <definedName name="CAPTURE_49" localSheetId="1">Données!$A$3:$I$698</definedName>
    <definedName name="CAPTURE_49" localSheetId="2">Points!$A$3:$D$119</definedName>
    <definedName name="CAPTURE_50" localSheetId="2">Points!$A$3:$D$119</definedName>
    <definedName name="CAPTURE_51" localSheetId="2">Points!$A$3:$D$118</definedName>
    <definedName name="CAPTURE_52" localSheetId="2">Points!$A$3:$D$118</definedName>
    <definedName name="CAPTURE_53" localSheetId="2">Points!$A$3:$D$119</definedName>
    <definedName name="CAPTURE_54" localSheetId="2">Points!$A$3:$D$119</definedName>
    <definedName name="CAPTURE_55" localSheetId="2">Points!$A$3:$D$119</definedName>
    <definedName name="CAPTURE_56" localSheetId="2">Points!$A$3:$D$121</definedName>
    <definedName name="CAPTURE_57" localSheetId="2">Points!$A$3:$D$121</definedName>
    <definedName name="CAPTURE_58" localSheetId="2">Points!$A$3:$D$121</definedName>
    <definedName name="CAPTURE_59" localSheetId="2">Points!$A$3:$D$116</definedName>
    <definedName name="CAPTURE_60" localSheetId="2">Points!$A$3:$D$116</definedName>
    <definedName name="CAPTURE_61" localSheetId="2">Points!$A$3:$D$116</definedName>
    <definedName name="CAPTURE_62" localSheetId="2">Points!$A$3:$D$116</definedName>
    <definedName name="CAPTURE_63" localSheetId="2">Points!$A$3:$D$116</definedName>
    <definedName name="CAPTURE_64" localSheetId="2">Points!$A$3:$D$117</definedName>
    <definedName name="CAPTURE_65" localSheetId="2">Points!$A$3:$D$117</definedName>
    <definedName name="CAPTURE_66" localSheetId="2">Points!$A$3:$D$101</definedName>
    <definedName name="CAPTURE_67" localSheetId="2">Points!$A$3:$D$117</definedName>
    <definedName name="CAPTURE_68" localSheetId="2">Points!$A$3:$D$117</definedName>
    <definedName name="CAPTURE_69" localSheetId="2">Points!$A$3:$D$4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8" l="1"/>
  <c r="F1" i="8" s="1"/>
  <c r="B2" i="10" l="1"/>
  <c r="B1" i="10" l="1"/>
  <c r="K1" i="10" s="1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82" i="10"/>
  <c r="F83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99" i="10"/>
  <c r="F100" i="10"/>
  <c r="F101" i="10"/>
  <c r="F102" i="10"/>
  <c r="F5" i="10" l="1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4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13000000}" name="Datas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xr16:uid="{00000000-0015-0000-FFFF-FFFF14000000}" name="Datas1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xr16:uid="{00000000-0015-0000-FFFF-FFFF15000000}" name="Datas10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xr16:uid="{00000000-0015-0000-FFFF-FFFF16000000}" name="Datas11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xr16:uid="{00000000-0015-0000-FFFF-FFFF17000000}" name="Datas12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xr16:uid="{00000000-0015-0000-FFFF-FFFF18000000}" name="Datas13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xr16:uid="{00000000-0015-0000-FFFF-FFFF19000000}" name="Datas14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xr16:uid="{00000000-0015-0000-FFFF-FFFF1A000000}" name="Datas15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xr16:uid="{00000000-0015-0000-FFFF-FFFF1B000000}" name="Datas16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xr16:uid="{00000000-0015-0000-FFFF-FFFF1C000000}" name="Datas2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xr16:uid="{00000000-0015-0000-FFFF-FFFF1D000000}" name="Datas21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xr16:uid="{00000000-0015-0000-FFFF-FFFF1E000000}" name="Datas22" type="6" refreshedVersion="5" background="1" saveData="1">
    <textPr prompt="0" codePage="437" sourceFile="Datas2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xr16:uid="{00000000-0015-0000-FFFF-FFFF1F000000}" name="Datas23" type="6" refreshedVersion="5" background="1" saveData="1">
    <textPr prompt="0" codePage="437" sourceFile="Datas2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xr16:uid="{00000000-0015-0000-FFFF-FFFF20000000}" name="Datas24" type="6" refreshedVersion="5" background="1" saveData="1">
    <textPr prompt="0" codePage="437" sourceFile="Datas2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xr16:uid="{00000000-0015-0000-FFFF-FFFF21000000}" name="Datas25" type="6" refreshedVersion="5" background="1" saveData="1">
    <textPr prompt="0" codePage="437" sourceFile="Datas2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xr16:uid="{00000000-0015-0000-FFFF-FFFF22000000}" name="Datas26" type="6" refreshedVersion="5" background="1" saveData="1">
    <textPr prompt="0" codePage="437" sourceFile="Datas2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xr16:uid="{00000000-0015-0000-FFFF-FFFF23000000}" name="Datas3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xr16:uid="{00000000-0015-0000-FFFF-FFFF24000000}" name="Datas4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xr16:uid="{00000000-0015-0000-FFFF-FFFF25000000}" name="Datas5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xr16:uid="{00000000-0015-0000-FFFF-FFFF26000000}" name="Datas6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xr16:uid="{00000000-0015-0000-FFFF-FFFF27000000}" name="Datas7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xr16:uid="{00000000-0015-0000-FFFF-FFFF28000000}" name="Datas8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xr16:uid="{00000000-0015-0000-FFFF-FFFF29000000}" name="Datas9" type="6" refreshedVersion="5" background="1" saveData="1">
    <textPr prompt="0" codePage="437" sourceFile="Data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xr16:uid="{00000000-0015-0000-FFFF-FFFF2A000000}" name="Flux1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xr16:uid="{00000000-0015-0000-FFFF-FFFF2B000000}" name="Flux11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xr16:uid="{00000000-0015-0000-FFFF-FFFF2C000000}" name="Flux2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xr16:uid="{00000000-0015-0000-FFFF-FFFF2D000000}" name="Flux3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xr16:uid="{00000000-0015-0000-FFFF-FFFF2E000000}" name="Flux4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xr16:uid="{00000000-0015-0000-FFFF-FFFF2F000000}" name="Flux5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xr16:uid="{00000000-0015-0000-FFFF-FFFF30000000}" name="Flux6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xr16:uid="{00000000-0015-0000-FFFF-FFFF31000000}" name="Flux7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xr16:uid="{00000000-0015-0000-FFFF-FFFF32000000}" name="Flux71" type="6" refreshedVersion="5" background="1" saveData="1">
    <textPr prompt="0" codePage="437" sourceFile="Flux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xr16:uid="{00000000-0015-0000-FFFF-FFFF34000000}" name="Points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xr16:uid="{00000000-0015-0000-FFFF-FFFF35000000}" name="Points1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xr16:uid="{00000000-0015-0000-FFFF-FFFF36000000}" name="Points10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xr16:uid="{00000000-0015-0000-FFFF-FFFF37000000}" name="Points11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xr16:uid="{00000000-0015-0000-FFFF-FFFF38000000}" name="Points12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xr16:uid="{00000000-0015-0000-FFFF-FFFF39000000}" name="Points13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xr16:uid="{00000000-0015-0000-FFFF-FFFF3A000000}" name="Points14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xr16:uid="{00000000-0015-0000-FFFF-FFFF3B000000}" name="Points15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xr16:uid="{00000000-0015-0000-FFFF-FFFF3C000000}" name="Points16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xr16:uid="{00000000-0015-0000-FFFF-FFFF3D000000}" name="Points17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xr16:uid="{00000000-0015-0000-FFFF-FFFF3E000000}" name="Points18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xr16:uid="{00000000-0015-0000-FFFF-FFFF3F000000}" name="Points19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xr16:uid="{00000000-0015-0000-FFFF-FFFF40000000}" name="Points2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xr16:uid="{00000000-0015-0000-FFFF-FFFF41000000}" name="Points20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xr16:uid="{00000000-0015-0000-FFFF-FFFF42000000}" name="Points21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xr16:uid="{00000000-0015-0000-FFFF-FFFF43000000}" name="Points22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xr16:uid="{00000000-0015-0000-FFFF-FFFF44000000}" name="Points23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xr16:uid="{00000000-0015-0000-FFFF-FFFF45000000}" name="Points24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xr16:uid="{00000000-0015-0000-FFFF-FFFF46000000}" name="Points25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xr16:uid="{00000000-0015-0000-FFFF-FFFF47000000}" name="Points26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xr16:uid="{00000000-0015-0000-FFFF-FFFF48000000}" name="Points27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xr16:uid="{00000000-0015-0000-FFFF-FFFF49000000}" name="Points28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xr16:uid="{00000000-0015-0000-FFFF-FFFF4A000000}" name="Points29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xr16:uid="{00000000-0015-0000-FFFF-FFFF4B000000}" name="Points3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xr16:uid="{00000000-0015-0000-FFFF-FFFF4C000000}" name="Points30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xr16:uid="{00000000-0015-0000-FFFF-FFFF4D000000}" name="Points31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xr16:uid="{00000000-0015-0000-FFFF-FFFF4E000000}" name="Points32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xr16:uid="{00000000-0015-0000-FFFF-FFFF4F000000}" name="Points33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xr16:uid="{00000000-0015-0000-FFFF-FFFF50000000}" name="Points34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xr16:uid="{00000000-0015-0000-FFFF-FFFF51000000}" name="Points35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xr16:uid="{00000000-0015-0000-FFFF-FFFF52000000}" name="Points36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xr16:uid="{00000000-0015-0000-FFFF-FFFF53000000}" name="Points4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xr16:uid="{00000000-0015-0000-FFFF-FFFF54000000}" name="Points5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xr16:uid="{00000000-0015-0000-FFFF-FFFF55000000}" name="Points6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xr16:uid="{00000000-0015-0000-FFFF-FFFF56000000}" name="Points7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xr16:uid="{00000000-0015-0000-FFFF-FFFF57000000}" name="Points8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xr16:uid="{00000000-0015-0000-FFFF-FFFF58000000}" name="Points9" type="6" refreshedVersion="5" background="1" saveData="1">
    <textPr prompt="0" codePage="437" sourceFile="Points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xr16:uid="{00000000-0015-0000-FFFF-FFFF5B000000}" name="temp10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xr16:uid="{00000000-0015-0000-FFFF-FFFF5C000000}" name="temp1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xr16:uid="{00000000-0015-0000-FFFF-FFFF5D000000}" name="temp1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xr16:uid="{00000000-0015-0000-FFFF-FFFF5F000000}" name="temp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xr16:uid="{00000000-0015-0000-FFFF-FFFF60000000}" name="temp2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xr16:uid="{00000000-0015-0000-FFFF-FFFF62000000}" name="temp3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xr16:uid="{00000000-0015-0000-FFFF-FFFF63000000}" name="temp3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7" xr16:uid="{00000000-0015-0000-FFFF-FFFF65000000}" name="temp4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8" xr16:uid="{00000000-0015-0000-FFFF-FFFF66000000}" name="temp4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9" xr16:uid="{00000000-0015-0000-FFFF-FFFF68000000}" name="temp5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0" xr16:uid="{00000000-0015-0000-FFFF-FFFF69000000}" name="temp5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1" xr16:uid="{00000000-0015-0000-FFFF-FFFF6A000000}" name="temp6" type="6" refreshedVersion="0" background="1">
    <textPr prompt="0" sourceFile="temp.CSV" decimal="," thousands=" ">
      <textFields>
        <textField/>
      </textFields>
    </textPr>
  </connection>
  <connection id="82" xr16:uid="{00000000-0015-0000-FFFF-FFFF6C000000}" name="temp7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3" xr16:uid="{00000000-0015-0000-FFFF-FFFF6D000000}" name="temp7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4" xr16:uid="{00000000-0015-0000-FFFF-FFFF6F000000}" name="temp81" type="6" refreshedVersion="5" background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5" xr16:uid="{00000000-0015-0000-FFFF-FFFF70000000}" name="temp821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6" xr16:uid="{00000000-0015-0000-FFFF-FFFF71000000}" name="temp9" type="6" refreshedVersion="5" background="1" saveData="1">
    <textPr prompt="0" codePage="437" sourceFile="temp.CSV" decimal=",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<sst xmlns="http://schemas.openxmlformats.org/spreadsheetml/2006/main" count="3222" uniqueCount="702">
  <si>
    <t>WAC</t>
  </si>
  <si>
    <t>Description</t>
  </si>
  <si>
    <t>ID</t>
  </si>
  <si>
    <t>Picture</t>
  </si>
  <si>
    <t>Name</t>
  </si>
  <si>
    <t>Login:</t>
  </si>
  <si>
    <t>Password:</t>
  </si>
  <si>
    <t>Token</t>
  </si>
  <si>
    <t>PointsCount</t>
  </si>
  <si>
    <t>Size</t>
  </si>
  <si>
    <t>InfrastructureID</t>
  </si>
  <si>
    <t>Period</t>
  </si>
  <si>
    <t>LastDataDate</t>
  </si>
  <si>
    <t>FirstDataDate</t>
  </si>
  <si>
    <t>Label</t>
  </si>
  <si>
    <t>FluxID</t>
  </si>
  <si>
    <t>WUM</t>
  </si>
  <si>
    <t>DataID</t>
  </si>
  <si>
    <t>T</t>
  </si>
  <si>
    <t>V</t>
  </si>
  <si>
    <t>S</t>
  </si>
  <si>
    <t>D</t>
  </si>
  <si>
    <t>2014-10-28T23:50:00+01:00</t>
  </si>
  <si>
    <t>2014-10-28T23:40:00+01:00</t>
  </si>
  <si>
    <t>2014-10-28T23:30:00+01:00</t>
  </si>
  <si>
    <t>2014-10-28T23:20:00+01:00</t>
  </si>
  <si>
    <t>2014-10-28T23:10:00+01:00</t>
  </si>
  <si>
    <t>2014-10-28T23:00:00+01:00</t>
  </si>
  <si>
    <t>2014-10-28T22:50:00+01:00</t>
  </si>
  <si>
    <t>2014-10-28T22:40:00+01:00</t>
  </si>
  <si>
    <t>2014-10-28T22:30:00+01:00</t>
  </si>
  <si>
    <t>2014-10-28T22:20:00+01:00</t>
  </si>
  <si>
    <t>2014-10-28T22:10:00+01:00</t>
  </si>
  <si>
    <t>2014-10-28T22:00:00+01:00</t>
  </si>
  <si>
    <t>DEMO connection Excel à la plateforme WIT-DataCenter avec WAPI</t>
  </si>
  <si>
    <t>2014-11-20T12:56:00+01:00</t>
  </si>
  <si>
    <t>23.36</t>
  </si>
  <si>
    <t>2014-11-20T12:55:00+01:00</t>
  </si>
  <si>
    <t>23.29</t>
  </si>
  <si>
    <t>2014-11-20T12:54:00+01:00</t>
  </si>
  <si>
    <t>23.23</t>
  </si>
  <si>
    <t>2014-11-20T12:53:00+01:00</t>
  </si>
  <si>
    <t>23.27</t>
  </si>
  <si>
    <t>2014-11-20T12:52:00+01:00</t>
  </si>
  <si>
    <t>2014-11-20T12:51:00+01:00</t>
  </si>
  <si>
    <t>23.24</t>
  </si>
  <si>
    <t>2014-11-20T12:50:00+01:00</t>
  </si>
  <si>
    <t>23.2</t>
  </si>
  <si>
    <t>2014-11-20T12:49:00+01:00</t>
  </si>
  <si>
    <t>23.13</t>
  </si>
  <si>
    <t>2014-11-20T12:48:00+01:00</t>
  </si>
  <si>
    <t>23.12</t>
  </si>
  <si>
    <t>2014-11-20T12:47:00+01:00</t>
  </si>
  <si>
    <t>23.16</t>
  </si>
  <si>
    <t>2014-11-20T12:46:00+01:00</t>
  </si>
  <si>
    <t>23.14</t>
  </si>
  <si>
    <t>2014-11-20T12:45:00+01:00</t>
  </si>
  <si>
    <t>23.1</t>
  </si>
  <si>
    <t>2014-11-20T12:44:00+01:00</t>
  </si>
  <si>
    <t>23.11</t>
  </si>
  <si>
    <t>2014-11-20T12:43:00+01:00</t>
  </si>
  <si>
    <t>2014-11-20T12:42:00+01:00</t>
  </si>
  <si>
    <t>23.06</t>
  </si>
  <si>
    <t>2014-11-20T12:41:00+01:00</t>
  </si>
  <si>
    <t>23.04</t>
  </si>
  <si>
    <t>2014-11-20T12:40:00+01:00</t>
  </si>
  <si>
    <t>23.08</t>
  </si>
  <si>
    <t>2014-11-20T12:39:00+01:00</t>
  </si>
  <si>
    <t>23.01</t>
  </si>
  <si>
    <t>2014-11-20T12:38:00+01:00</t>
  </si>
  <si>
    <t>22.95</t>
  </si>
  <si>
    <t>2014-11-20T12:37:00+01:00</t>
  </si>
  <si>
    <t>22.89</t>
  </si>
  <si>
    <t>2014-11-20T12:36:00+01:00</t>
  </si>
  <si>
    <t>2014-11-20T12:35:00+01:00</t>
  </si>
  <si>
    <t>22.98</t>
  </si>
  <si>
    <t>2014-11-20T12:34:00+01:00</t>
  </si>
  <si>
    <t>22.94</t>
  </si>
  <si>
    <t>2014-11-20T12:33:00+01:00</t>
  </si>
  <si>
    <t>22.91</t>
  </si>
  <si>
    <t>2014-11-20T12:32:00+01:00</t>
  </si>
  <si>
    <t>22.88</t>
  </si>
  <si>
    <t>2014-11-20T12:31:00+01:00</t>
  </si>
  <si>
    <t>22.82</t>
  </si>
  <si>
    <t>2014-11-20T12:30:00+01:00</t>
  </si>
  <si>
    <t>22.73</t>
  </si>
  <si>
    <t>2014-11-20T12:29:00+01:00</t>
  </si>
  <si>
    <t>22.81</t>
  </si>
  <si>
    <t>2014-11-20T12:28:00+01:00</t>
  </si>
  <si>
    <t>22.74</t>
  </si>
  <si>
    <t>2014-11-20T12:27:00+01:00</t>
  </si>
  <si>
    <t>22.79</t>
  </si>
  <si>
    <t>2014-11-20T12:26:00+01:00</t>
  </si>
  <si>
    <t>22.85</t>
  </si>
  <si>
    <t>2014-11-20T12:25:00+01:00</t>
  </si>
  <si>
    <t>22.87</t>
  </si>
  <si>
    <t>2014-11-20T12:24:00+01:00</t>
  </si>
  <si>
    <t>2014-11-20T12:23:00+01:00</t>
  </si>
  <si>
    <t>2014-11-20T12:22:00+01:00</t>
  </si>
  <si>
    <t>22.78</t>
  </si>
  <si>
    <t>2014-11-20T12:21:00+01:00</t>
  </si>
  <si>
    <t>22.71</t>
  </si>
  <si>
    <t>2014-11-20T12:20:00+01:00</t>
  </si>
  <si>
    <t>22.63</t>
  </si>
  <si>
    <t>2014-11-20T12:19:00+01:00</t>
  </si>
  <si>
    <t>22.68</t>
  </si>
  <si>
    <t>2014-11-20T12:18:00+01:00</t>
  </si>
  <si>
    <t>22.69</t>
  </si>
  <si>
    <t>2014-11-20T12:17:00+01:00</t>
  </si>
  <si>
    <t>2014-11-20T12:16:00+01:00</t>
  </si>
  <si>
    <t>2014-11-20T12:15:00+01:00</t>
  </si>
  <si>
    <t>22.66</t>
  </si>
  <si>
    <t>2014-11-20T12:14:00+01:00</t>
  </si>
  <si>
    <t>22.62</t>
  </si>
  <si>
    <t>2014-11-20T12:13:00+01:00</t>
  </si>
  <si>
    <t>2014-11-20T12:12:00+01:00</t>
  </si>
  <si>
    <t>22.58</t>
  </si>
  <si>
    <t>2014-11-20T12:11:00+01:00</t>
  </si>
  <si>
    <t>22.53</t>
  </si>
  <si>
    <t>2014-11-20T12:10:00+01:00</t>
  </si>
  <si>
    <t>22.56</t>
  </si>
  <si>
    <t>2014-11-20T12:09:00+01:00</t>
  </si>
  <si>
    <t>2014-11-20T12:08:00+01:00</t>
  </si>
  <si>
    <t>22.6</t>
  </si>
  <si>
    <t>2014-11-20T12:07:00+01:00</t>
  </si>
  <si>
    <t>22.61</t>
  </si>
  <si>
    <t>2014-11-20T12:06:00+01:00</t>
  </si>
  <si>
    <t>2014-11-20T12:05:00+01:00</t>
  </si>
  <si>
    <t>2014-11-20T12:04:00+01:00</t>
  </si>
  <si>
    <t>2014-11-20T12:03:00+01:00</t>
  </si>
  <si>
    <t>22.51</t>
  </si>
  <si>
    <t>2014-11-20T12:02:00+01:00</t>
  </si>
  <si>
    <t>22.49</t>
  </si>
  <si>
    <t>2014-11-20T12:01:00+01:00</t>
  </si>
  <si>
    <t>2014-11-20T12:00:00+01:00</t>
  </si>
  <si>
    <t>2014-11-20T11:59:00+01:00</t>
  </si>
  <si>
    <t>2014-11-20T11:58:00+01:00</t>
  </si>
  <si>
    <t>22.48</t>
  </si>
  <si>
    <t>2014-11-20T11:57:00+01:00</t>
  </si>
  <si>
    <t>22.47</t>
  </si>
  <si>
    <t>2014-11-20T11:56:00+01:00</t>
  </si>
  <si>
    <t>22.46</t>
  </si>
  <si>
    <t>2014-11-20T11:55:00+01:00</t>
  </si>
  <si>
    <t>22.4</t>
  </si>
  <si>
    <t>2014-11-20T11:54:00+01:00</t>
  </si>
  <si>
    <t>22.33</t>
  </si>
  <si>
    <t>2014-11-20T11:53:00+01:00</t>
  </si>
  <si>
    <t>22.39</t>
  </si>
  <si>
    <t>2014-11-20T11:52:00+01:00</t>
  </si>
  <si>
    <t>22.45</t>
  </si>
  <si>
    <t>2014-11-20T11:51:00+01:00</t>
  </si>
  <si>
    <t>22.43</t>
  </si>
  <si>
    <t>23.41</t>
  </si>
  <si>
    <t>2014-11-20T13:29:00+01:00</t>
  </si>
  <si>
    <t>23.44</t>
  </si>
  <si>
    <t>2014-11-20T13:28:00+01:00</t>
  </si>
  <si>
    <t>2014-11-20T13:27:00+01:00</t>
  </si>
  <si>
    <t>23.5</t>
  </si>
  <si>
    <t>2014-11-20T13:26:00+01:00</t>
  </si>
  <si>
    <t>23.47</t>
  </si>
  <si>
    <t>2014-11-20T13:25:00+01:00</t>
  </si>
  <si>
    <t>2014-11-20T13:24:00+01:00</t>
  </si>
  <si>
    <t>23.45</t>
  </si>
  <si>
    <t>2014-11-20T13:23:00+01:00</t>
  </si>
  <si>
    <t>2014-11-20T13:22:00+01:00</t>
  </si>
  <si>
    <t>2014-11-20T13:21:00+01:00</t>
  </si>
  <si>
    <t>23.43</t>
  </si>
  <si>
    <t>2014-11-20T13:20:00+01:00</t>
  </si>
  <si>
    <t>2014-11-20T13:19:00+01:00</t>
  </si>
  <si>
    <t>2014-11-20T13:18:00+01:00</t>
  </si>
  <si>
    <t>23.46</t>
  </si>
  <si>
    <t>2014-11-20T13:17:00+01:00</t>
  </si>
  <si>
    <t>23.39</t>
  </si>
  <si>
    <t>2014-11-20T13:16:00+01:00</t>
  </si>
  <si>
    <t>23.4</t>
  </si>
  <si>
    <t>2014-11-20T13:15:00+01:00</t>
  </si>
  <si>
    <t>2014-11-20T13:14:00+01:00</t>
  </si>
  <si>
    <t>23.35</t>
  </si>
  <si>
    <t>2014-11-20T13:13:00+01:00</t>
  </si>
  <si>
    <t>23.37</t>
  </si>
  <si>
    <t>2014-11-20T13:12:00+01:00</t>
  </si>
  <si>
    <t>2014-11-20T13:11:00+01:00</t>
  </si>
  <si>
    <t>23.38</t>
  </si>
  <si>
    <t>2014-11-20T13:10:00+01:00</t>
  </si>
  <si>
    <t>23.42</t>
  </si>
  <si>
    <t>2014-11-20T13:09:00+01:00</t>
  </si>
  <si>
    <t>2014-11-20T13:08:00+01:00</t>
  </si>
  <si>
    <t>2014-11-20T13:07:00+01:00</t>
  </si>
  <si>
    <t>2014-11-20T13:06:00+01:00</t>
  </si>
  <si>
    <t>2014-11-20T13:05:00+01:00</t>
  </si>
  <si>
    <t>23.34</t>
  </si>
  <si>
    <t>2014-11-20T13:04:00+01:00</t>
  </si>
  <si>
    <t>2014-11-20T13:03:00+01:00</t>
  </si>
  <si>
    <t>2014-11-20T13:02:00+01:00</t>
  </si>
  <si>
    <t>2014-11-20T13:01:00+01:00</t>
  </si>
  <si>
    <t>2014-11-20T13:00:00+01:00</t>
  </si>
  <si>
    <t>2014-11-20T12:59:00+01:00</t>
  </si>
  <si>
    <t>2014-11-20T12:58:00+01:00</t>
  </si>
  <si>
    <t>2014-11-20T12:57:00+01:00</t>
  </si>
  <si>
    <t xml:space="preserve">GET </t>
  </si>
  <si>
    <t>Active_Energy_1</t>
  </si>
  <si>
    <t>{wType:WUM,wumUnitItemID:108,wumFunctionID:0,wumMaterialID:10,wumTypeID:1}</t>
  </si>
  <si>
    <t>Energie Active L1</t>
  </si>
  <si>
    <t>Reactive_Energy_1</t>
  </si>
  <si>
    <t>{wType:WUM,wumUnitItemID:118,wumFunctionID:0,wumMaterialID:10,wumTypeID:1}</t>
  </si>
  <si>
    <t>Energie R├⌐active L1</t>
  </si>
  <si>
    <t>Apparent_Energy_1</t>
  </si>
  <si>
    <t>{wType:WUM,wumUnitItemID:114,wumFunctionID:0,wumMaterialID:10,wumTypeID:1}</t>
  </si>
  <si>
    <t>Energie Apparente L1</t>
  </si>
  <si>
    <t>Active_Power_1</t>
  </si>
  <si>
    <t>{wType:WUM,wumUnitItemID:138,wumFunctionID:0,wumMaterialID:10,wumTypeID:0}</t>
  </si>
  <si>
    <t>Puissance Active L1</t>
  </si>
  <si>
    <t>Reactive_Power_1</t>
  </si>
  <si>
    <t>{wType:WUM,wumUnitItemID:146,wumFunctionID:0,wumMaterialID:10,wumTypeID:0}</t>
  </si>
  <si>
    <t>Puissance R├⌐active L1</t>
  </si>
  <si>
    <t>Apparent_Power_1</t>
  </si>
  <si>
    <t>{wType:WUM,wumUnitItemID:144,wumFunctionID:0,wumMaterialID:10,wumTypeID:0}</t>
  </si>
  <si>
    <t>Puissance Apparente L1</t>
  </si>
  <si>
    <t>Current_1</t>
  </si>
  <si>
    <t>{wType:WUM,wumUnitItemID:128,wumFunctionID:0,wumMaterialID:10,wumTypeID:0}</t>
  </si>
  <si>
    <t>Intensit├⌐ L1</t>
  </si>
  <si>
    <t>Voltage_1</t>
  </si>
  <si>
    <t>{wType:WUM,wumUnitItemID:168,wumFunctionID:0,wumMaterialID:10,wumTypeID:0}</t>
  </si>
  <si>
    <t>Tension L1</t>
  </si>
  <si>
    <t>Cos_Phi_1</t>
  </si>
  <si>
    <t>{wType:WUM,wumUnitItemID:0,wumFunctionID:0,wumMaterialID:10,wumTypeID:0}</t>
  </si>
  <si>
    <t>Cos Phi L1</t>
  </si>
  <si>
    <t>Active_Energy_2</t>
  </si>
  <si>
    <t>Energie Active L2</t>
  </si>
  <si>
    <t>Reactive_Energy_2</t>
  </si>
  <si>
    <t>Energie R├⌐active L2</t>
  </si>
  <si>
    <t>Apparent_Energy_2</t>
  </si>
  <si>
    <t>Energie Apparente L2</t>
  </si>
  <si>
    <t>Active_Power_2</t>
  </si>
  <si>
    <t>Puissance Active L2</t>
  </si>
  <si>
    <t>Reactive_Power_2</t>
  </si>
  <si>
    <t>Puissance R├⌐active L2</t>
  </si>
  <si>
    <t>Apparent_Power_2</t>
  </si>
  <si>
    <t>Puissance Apparente L2</t>
  </si>
  <si>
    <t>Current_2</t>
  </si>
  <si>
    <t>Intensit├⌐ L2</t>
  </si>
  <si>
    <t>Voltage_2</t>
  </si>
  <si>
    <t>Tension L2</t>
  </si>
  <si>
    <t>Cos_Phi_2</t>
  </si>
  <si>
    <t>Cos Phi L2</t>
  </si>
  <si>
    <t>Active_Energy_3</t>
  </si>
  <si>
    <t>Energie Active L3</t>
  </si>
  <si>
    <t>Reactive_Energy_3</t>
  </si>
  <si>
    <t>Energie R├⌐active L3</t>
  </si>
  <si>
    <t>Apparent_Energy_3</t>
  </si>
  <si>
    <t>Energie Apparente L3</t>
  </si>
  <si>
    <t>Active_Power_3</t>
  </si>
  <si>
    <t>Puissance Active L3</t>
  </si>
  <si>
    <t>Reactive_Power_3</t>
  </si>
  <si>
    <t>Puissance R├⌐active L3</t>
  </si>
  <si>
    <t>Apparent_Power_3</t>
  </si>
  <si>
    <t>Puissance Apparente L3</t>
  </si>
  <si>
    <t>Current_3</t>
  </si>
  <si>
    <t>Intensit├⌐ L3</t>
  </si>
  <si>
    <t>Voltage_3</t>
  </si>
  <si>
    <t>Tension L3</t>
  </si>
  <si>
    <t>Cos_Phi_3</t>
  </si>
  <si>
    <t>Cos Phi L3</t>
  </si>
  <si>
    <t>Active_Energy</t>
  </si>
  <si>
    <t>Energie Active Totale</t>
  </si>
  <si>
    <t>Reactive_Energy</t>
  </si>
  <si>
    <t>Energie R├⌐active Totale</t>
  </si>
  <si>
    <t>Apparent_Energy</t>
  </si>
  <si>
    <t>Energie Apparente Totale</t>
  </si>
  <si>
    <t>Active_Power</t>
  </si>
  <si>
    <t>Puissance Active Totale</t>
  </si>
  <si>
    <t>Reactive_Power</t>
  </si>
  <si>
    <t>Puissance R├⌐active Totale</t>
  </si>
  <si>
    <t>Apparent_Power</t>
  </si>
  <si>
    <t>Puissance Apparente Totale</t>
  </si>
  <si>
    <t>Current</t>
  </si>
  <si>
    <t>Intensit├⌐ Totale</t>
  </si>
  <si>
    <t>Frequency</t>
  </si>
  <si>
    <t>{wType:WUM,wumUnitItemID:25,wumFunctionID:0,wumMaterialID:10,wumTypeID:0}</t>
  </si>
  <si>
    <t>Fr├⌐quence</t>
  </si>
  <si>
    <t>Energie Active</t>
  </si>
  <si>
    <t>Energie R├⌐active</t>
  </si>
  <si>
    <t>Energie Apparente</t>
  </si>
  <si>
    <t>Puissance Active</t>
  </si>
  <si>
    <t>Puissance R├⌐active</t>
  </si>
  <si>
    <t>Puissance Apparente</t>
  </si>
  <si>
    <t>Intensit├⌐</t>
  </si>
  <si>
    <t>Voltage</t>
  </si>
  <si>
    <t>Tension</t>
  </si>
  <si>
    <t>Cos_Phi</t>
  </si>
  <si>
    <t>Cos Phi</t>
  </si>
  <si>
    <t>2016-02-03T16:01:30+01:00</t>
  </si>
  <si>
    <t>2018-02-05T15:52:30+01:00</t>
  </si>
  <si>
    <t>DCAError</t>
  </si>
  <si>
    <t>{wType:WUM,wumUnitItemID:0,wumFunctionID:0,wumMaterialID:0,wumTypeID:0}</t>
  </si>
  <si>
    <t>DCAExchange</t>
  </si>
  <si>
    <t>DCAStatus</t>
  </si>
  <si>
    <t>2015-10-08T10:04:00+02:00</t>
  </si>
  <si>
    <t>2015-12-08T09:37:00+01:00</t>
  </si>
  <si>
    <t>Temperature_depart</t>
  </si>
  <si>
    <t>Temp├⌐rature d├⌐part</t>
  </si>
  <si>
    <t>Temperature_retour</t>
  </si>
  <si>
    <t>Temp├⌐rature retour</t>
  </si>
  <si>
    <t>Energie_climatisat</t>
  </si>
  <si>
    <t>{wType:WUM,wumUnitItemID:3,wumFunctionID:0,wumMaterialID:0,wumTypeID:1}</t>
  </si>
  <si>
    <t>Energie climatisation</t>
  </si>
  <si>
    <t>Energie_groupe_lec</t>
  </si>
  <si>
    <t>Energie groupe ├⌐lectrog├¿ne</t>
  </si>
  <si>
    <t>2015-12-08T09:37:30+01:00</t>
  </si>
  <si>
    <t>Temperature_aller</t>
  </si>
  <si>
    <t>2015-10-06T11:57:04+02:00</t>
  </si>
  <si>
    <t>2016-07-05T13:29:45+02:00</t>
  </si>
  <si>
    <t>Temperature</t>
  </si>
  <si>
    <t>Latitude</t>
  </si>
  <si>
    <t>Longitude</t>
  </si>
  <si>
    <t>2015-10-07T16:57:19+02:00</t>
  </si>
  <si>
    <t>HasTemperature</t>
  </si>
  <si>
    <t>2015-10-07T17:18:10+02:00</t>
  </si>
  <si>
    <t>TriggerAcceleromete</t>
  </si>
  <si>
    <t>TriggerAccelerometer</t>
  </si>
  <si>
    <t>TriggerPushButton</t>
  </si>
  <si>
    <t>HasGPS</t>
  </si>
  <si>
    <t>HasReceptionCounter</t>
  </si>
  <si>
    <t>HasBroadcastCounter</t>
  </si>
  <si>
    <t>ReceptionCounter</t>
  </si>
  <si>
    <t>BroadcastCounter</t>
  </si>
  <si>
    <t>2015-02-04T09:19:50+01:00</t>
  </si>
  <si>
    <t>2017-11-17T14:40:00+01:00</t>
  </si>
  <si>
    <t>2015-01-29T16:10:27+01:00</t>
  </si>
  <si>
    <t>2016-07-18T09:00:38+02:00</t>
  </si>
  <si>
    <t>2015-01-29T16:10:00+01:00</t>
  </si>
  <si>
    <t>2015-01-30T15:25:00+01:00</t>
  </si>
  <si>
    <t>2014-01-20T10:37:07+01:00</t>
  </si>
  <si>
    <t>2014-01-20T10:39:27+01:00</t>
  </si>
  <si>
    <t>2015-02-04T09:00:00+01:00</t>
  </si>
  <si>
    <t>2014-01-20T10:37:33+01:00</t>
  </si>
  <si>
    <t>2014-01-20T10:37:22+01:00</t>
  </si>
  <si>
    <t>2014-01-20T10:35:41+01:00</t>
  </si>
  <si>
    <t>2014-01-20T10:35:21+01:00</t>
  </si>
  <si>
    <t>2014-01-20T10:35:07+01:00</t>
  </si>
  <si>
    <t>2014-01-20T10:34:56+01:00</t>
  </si>
  <si>
    <t>2014-01-20T10:34:30+01:00</t>
  </si>
  <si>
    <t>2013-01-18T13:40:00+01:00</t>
  </si>
  <si>
    <t>2014-07-03T16:00:00+02:00</t>
  </si>
  <si>
    <t>Temp_niv2_BU_soft</t>
  </si>
  <si>
    <t>{wType:WUM,wumUnitItemID:29,wumFunctionID:0,wumMaterialID:0,wumTypeID:0}</t>
  </si>
  <si>
    <t>Temp niv2 BU_soft</t>
  </si>
  <si>
    <t>2014-05-30T17:40:00+02:00</t>
  </si>
  <si>
    <t>Temp_niv2_BU_hard</t>
  </si>
  <si>
    <t>Temp niv2 BU_hard</t>
  </si>
  <si>
    <t>Temp_niv2_services</t>
  </si>
  <si>
    <t>Temp niv2 services</t>
  </si>
  <si>
    <t>Temp_niv2</t>
  </si>
  <si>
    <t>Temp niv2</t>
  </si>
  <si>
    <t>Temp_niv1_services</t>
  </si>
  <si>
    <t>Temp niv1 services</t>
  </si>
  <si>
    <t>Temp_niv1_atelier</t>
  </si>
  <si>
    <t>Temp niv1 atelier</t>
  </si>
  <si>
    <t>Temp_niv1</t>
  </si>
  <si>
    <t>Temp niv1</t>
  </si>
  <si>
    <t>2013-08-08T15:10:00+02:00</t>
  </si>
  <si>
    <t>2014-01-20T10:10:00+01:00</t>
  </si>
  <si>
    <t>ECS</t>
  </si>
  <si>
    <t>{wType:WUM,wumUnitItemID:8,wumFunctionID:0,wumMaterialID:0,wumTypeID:0}</t>
  </si>
  <si>
    <t>2013-08-08T10:20:00+02:00</t>
  </si>
  <si>
    <t>eclairage_cb1</t>
  </si>
  <si>
    <t>eclairage cb1</t>
  </si>
  <si>
    <t>2013-08-05T14:02:03+02:00</t>
  </si>
  <si>
    <t>eclairage_cb2</t>
  </si>
  <si>
    <t>eclairage cb2</t>
  </si>
  <si>
    <t>total_eclairage</t>
  </si>
  <si>
    <t>total eclairage</t>
  </si>
  <si>
    <t>2013-08-22T14:50:00+02:00</t>
  </si>
  <si>
    <t>total_prises</t>
  </si>
  <si>
    <t>total prises (calcule)</t>
  </si>
  <si>
    <t>2013-08-20T07:50:00+02:00</t>
  </si>
  <si>
    <t>PAC3</t>
  </si>
  <si>
    <t>pac3</t>
  </si>
  <si>
    <t>2013-08-07T13:50:00+02:00</t>
  </si>
  <si>
    <t>PAC2</t>
  </si>
  <si>
    <t>pac2</t>
  </si>
  <si>
    <t>2013-08-07T13:30:00+02:00</t>
  </si>
  <si>
    <t>PAC1</t>
  </si>
  <si>
    <t>pac1</t>
  </si>
  <si>
    <t>PACTotal</t>
  </si>
  <si>
    <t>total PAC</t>
  </si>
  <si>
    <t>2013-08-07T12:40:00+02:00</t>
  </si>
  <si>
    <t>base_clim_serveur</t>
  </si>
  <si>
    <t>clim serveur</t>
  </si>
  <si>
    <t>2013-08-06T07:50:00+02:00</t>
  </si>
  <si>
    <t>tempo_arm_ventil</t>
  </si>
  <si>
    <t>armoire ventilo</t>
  </si>
  <si>
    <t>tot_cout_clim</t>
  </si>
  <si>
    <t>total clim</t>
  </si>
  <si>
    <t>2013-08-21T10:00:00+02:00</t>
  </si>
  <si>
    <t>tot_cout_chauff</t>
  </si>
  <si>
    <t>total chauffage</t>
  </si>
  <si>
    <t>2013-08-06T07:40:00+02:00</t>
  </si>
  <si>
    <t>2014-07-03T17:30:00+02:00</t>
  </si>
  <si>
    <t>compteur_base</t>
  </si>
  <si>
    <t>compteur Base</t>
  </si>
  <si>
    <t>2014-07-01T07:20:00+02:00</t>
  </si>
  <si>
    <t>compteur_tempo</t>
  </si>
  <si>
    <t>compteur tempo</t>
  </si>
  <si>
    <t>total_compteurs</t>
  </si>
  <si>
    <t>total compteurs</t>
  </si>
  <si>
    <t>NORMAL</t>
  </si>
  <si>
    <t>Base</t>
  </si>
  <si>
    <t>HCJB</t>
  </si>
  <si>
    <t>Tempo Bleu Creuse</t>
  </si>
  <si>
    <t>HPJB</t>
  </si>
  <si>
    <t>Tempo Bleu Pleine</t>
  </si>
  <si>
    <t>HCJR</t>
  </si>
  <si>
    <t>Tempo Rouge Creuse</t>
  </si>
  <si>
    <t>HPJR</t>
  </si>
  <si>
    <t>Tempo Rouge Pleine</t>
  </si>
  <si>
    <t>HCJW</t>
  </si>
  <si>
    <t>Tempo Blanc Creuse</t>
  </si>
  <si>
    <t>HPJW</t>
  </si>
  <si>
    <t>Tempo Blanc Pleine</t>
  </si>
  <si>
    <t>2014-01-20T10:20:00+01:00</t>
  </si>
  <si>
    <t>kWhepm2an</t>
  </si>
  <si>
    <t>{wType:WUM,wumUnitItemID:3,wumFunctionID:0,wumMaterialID:0,wumTypeID:0}</t>
  </si>
  <si>
    <t>Etiquette Energie</t>
  </si>
  <si>
    <t>kgeqCO2m2an</t>
  </si>
  <si>
    <t>Etiquette GES</t>
  </si>
  <si>
    <t>EA_ECS</t>
  </si>
  <si>
    <t>{wType:WUM,wumUnitItemID:44,wumFunctionID:0,wumMaterialID:0,wumTypeID:0}</t>
  </si>
  <si>
    <t>Energie active ECS</t>
  </si>
  <si>
    <t>2013-08-09T14:30:00+02:00</t>
  </si>
  <si>
    <t>PA_ECS</t>
  </si>
  <si>
    <t>{wType:WUM,wumUnitItemID:100,wumFunctionID:0,wumMaterialID:0,wumTypeID:0}</t>
  </si>
  <si>
    <t>Puissance active ECS</t>
  </si>
  <si>
    <t>2013-08-06T16:00:00+02:00</t>
  </si>
  <si>
    <t>GgVDJU1000</t>
  </si>
  <si>
    <t>{wType:WUM,wumUnitItemID:63,wumFunctionID:0,wumMaterialID:0,wumTypeID:0}</t>
  </si>
  <si>
    <t>pr├⌐vision besoin chauffage</t>
  </si>
  <si>
    <t>Total_emissions</t>
  </si>
  <si>
    <t>Total emissions</t>
  </si>
  <si>
    <t>Eq_voiture_6cv</t>
  </si>
  <si>
    <t>├⌐quivalent voiture 6CV</t>
  </si>
  <si>
    <t>Eq_voiture_10CV</t>
  </si>
  <si>
    <t>├⌐quivalent voiture 10CV</t>
  </si>
  <si>
    <t>eq_AR_niceParis</t>
  </si>
  <si>
    <t>├⌐quivalent Aller/Retour Nice/Paris</t>
  </si>
  <si>
    <t>eq_AR_ParisNY</t>
  </si>
  <si>
    <t>├⌐quivalent Aller/Retours Paris/NY</t>
  </si>
  <si>
    <t>Energie</t>
  </si>
  <si>
    <t>Energie 1</t>
  </si>
  <si>
    <t>Hors_Energie</t>
  </si>
  <si>
    <t>Hors ├⌐nergie 1</t>
  </si>
  <si>
    <t>Intrants</t>
  </si>
  <si>
    <t>Fret</t>
  </si>
  <si>
    <t>Deplacements</t>
  </si>
  <si>
    <t>D├⌐placements</t>
  </si>
  <si>
    <t>Dechets_directs</t>
  </si>
  <si>
    <t>D├⌐chets directs</t>
  </si>
  <si>
    <t>Immobilisations</t>
  </si>
  <si>
    <t>Utilisation</t>
  </si>
  <si>
    <t>Futurs_emballages</t>
  </si>
  <si>
    <t>Futurs emballages</t>
  </si>
  <si>
    <t>2015-12-20T07:00:00+01:00</t>
  </si>
  <si>
    <t>PAC_FROID</t>
  </si>
  <si>
    <t>Vrais si PAC en mode FROID</t>
  </si>
  <si>
    <t>PAC_CHAUD_CONS</t>
  </si>
  <si>
    <t>Consigne de chauffage</t>
  </si>
  <si>
    <t>PAC_ON</t>
  </si>
  <si>
    <t>Mise en marche des PAC</t>
  </si>
  <si>
    <t>PAC_CHAUD_MODE</t>
  </si>
  <si>
    <t>Mode PAC en mode chauffage</t>
  </si>
  <si>
    <t>PAC_FROID_MODE</t>
  </si>
  <si>
    <t>PAC_FROID_CONS</t>
  </si>
  <si>
    <t>Consigne de froid</t>
  </si>
  <si>
    <t>2013-08-22T15:20:00+02:00</t>
  </si>
  <si>
    <t>eclairage_puiss_act</t>
  </si>
  <si>
    <t>{wType:WUM,wumUnitItemID:67,wumFunctionID:0,wumMaterialID:0,wumTypeID:0}</t>
  </si>
  <si>
    <t>eclairage puissance active</t>
  </si>
  <si>
    <t>2014-07-03T07:10:00+02:00</t>
  </si>
  <si>
    <t>conso_totale</t>
  </si>
  <si>
    <t>Consommation totale</t>
  </si>
  <si>
    <t>eclairage</t>
  </si>
  <si>
    <t>├⌐clairage</t>
  </si>
  <si>
    <t>chauffage</t>
  </si>
  <si>
    <t>chauffage energie</t>
  </si>
  <si>
    <t>climatisation</t>
  </si>
  <si>
    <t>prises</t>
  </si>
  <si>
    <t>Prises</t>
  </si>
  <si>
    <t>chauffage_puissA</t>
  </si>
  <si>
    <t>chauffage puissance active</t>
  </si>
  <si>
    <t>serveurs</t>
  </si>
  <si>
    <t>clim_puissA</t>
  </si>
  <si>
    <t>clim puissance active</t>
  </si>
  <si>
    <t>reste_prises</t>
  </si>
  <si>
    <t>reste prises (sans serveur)</t>
  </si>
  <si>
    <t>Power</t>
  </si>
  <si>
    <t>Reste CB2 calcul├⌐</t>
  </si>
  <si>
    <t>Reste CB1 calcul├⌐</t>
  </si>
  <si>
    <t>Energie eclairage CB1</t>
  </si>
  <si>
    <t>Puissance_eclairag</t>
  </si>
  <si>
    <t>{wType:WUM,wumUnitItemID:100,wumFunctionID:0,wumMaterialID:10,wumTypeID:0}</t>
  </si>
  <si>
    <t>PUI_ECL_CB2</t>
  </si>
  <si>
    <t>PUI_ECL_CB1</t>
  </si>
  <si>
    <t>ActivEn</t>
  </si>
  <si>
    <t>Energie actve phase 1</t>
  </si>
  <si>
    <t>ApparentEn</t>
  </si>
  <si>
    <t>{wType:WUM,wumUnitItemID:40,wumFunctionID:0,wumMaterialID:0,wumTypeID:0}</t>
  </si>
  <si>
    <t>Energie apparente phase 1</t>
  </si>
  <si>
    <t>ReactivEn</t>
  </si>
  <si>
    <t>{wType:WUM,wumUnitItemID:42,wumFunctionID:0,wumMaterialID:0,wumTypeID:0}</t>
  </si>
  <si>
    <t>Energie r├⌐active phase 1</t>
  </si>
  <si>
    <t>ActivPw</t>
  </si>
  <si>
    <t>Puissance active phase 1</t>
  </si>
  <si>
    <t>ApparentPw</t>
  </si>
  <si>
    <t>{wType:WUM,wumUnitItemID:94,wumFunctionID:0,wumMaterialID:0,wumTypeID:0}</t>
  </si>
  <si>
    <t>Puissance apparente phase 1</t>
  </si>
  <si>
    <t>ReactivPw</t>
  </si>
  <si>
    <t>{wType:WUM,wumUnitItemID:97,wumFunctionID:0,wumMaterialID:0,wumTypeID:0}</t>
  </si>
  <si>
    <t>Puissance r├⌐active phase 1</t>
  </si>
  <si>
    <t>ActivEn_2</t>
  </si>
  <si>
    <t>Energie actve phase 2</t>
  </si>
  <si>
    <t>ActivEn_3</t>
  </si>
  <si>
    <t>Energie actve phase 3</t>
  </si>
  <si>
    <t>ApparentEn_2</t>
  </si>
  <si>
    <t>Energie apparente phase 2</t>
  </si>
  <si>
    <t>ApparentEn_3</t>
  </si>
  <si>
    <t>Energie apparente phase 3</t>
  </si>
  <si>
    <t>SumApparentEn</t>
  </si>
  <si>
    <t>Total Energie apparente</t>
  </si>
  <si>
    <t>ReactivEn_2</t>
  </si>
  <si>
    <t>Energie r├⌐active phase 2</t>
  </si>
  <si>
    <t>ReactivEn_3</t>
  </si>
  <si>
    <t>Energie r├⌐active phase 3</t>
  </si>
  <si>
    <t>SumReactivEn</t>
  </si>
  <si>
    <t>Total Energie r├⌐active</t>
  </si>
  <si>
    <t>ActivPw_2</t>
  </si>
  <si>
    <t>Puissance active phase 2</t>
  </si>
  <si>
    <t>ActivPw_3</t>
  </si>
  <si>
    <t>Puissance active phase 3</t>
  </si>
  <si>
    <t>ApparentPw_2</t>
  </si>
  <si>
    <t>Puissance apparente phase 2</t>
  </si>
  <si>
    <t>ApparentPw_3</t>
  </si>
  <si>
    <t>Puissance apparente phase 3</t>
  </si>
  <si>
    <t>SumApparentPw</t>
  </si>
  <si>
    <t>Total Puissance apparente</t>
  </si>
  <si>
    <t>ReactivPw_2</t>
  </si>
  <si>
    <t>Puissance r├⌐active phase 2</t>
  </si>
  <si>
    <t>ReactivPw_3</t>
  </si>
  <si>
    <t>Puissance r├⌐active phase 3</t>
  </si>
  <si>
    <t>SumReactivPw</t>
  </si>
  <si>
    <t>Total Puissance r├⌐active</t>
  </si>
  <si>
    <t>SumActivEn</t>
  </si>
  <si>
    <t>Total Energie active</t>
  </si>
  <si>
    <t>SumActivPw</t>
  </si>
  <si>
    <t>Total Puissance active</t>
  </si>
  <si>
    <t>2013-06-17T11:31:54+02:00</t>
  </si>
  <si>
    <t>TempExt</t>
  </si>
  <si>
    <t>Temp├⌐rature Exterieur</t>
  </si>
  <si>
    <t>TempRackIn</t>
  </si>
  <si>
    <t>Temp├⌐rature Entr├⌐e Rack</t>
  </si>
  <si>
    <t>TempRackOut</t>
  </si>
  <si>
    <t>Temp├⌐rature Sortie Rack</t>
  </si>
  <si>
    <t>TempSalle</t>
  </si>
  <si>
    <t>Temp├⌐rature Salle Serveur</t>
  </si>
  <si>
    <t>Fan1</t>
  </si>
  <si>
    <t>Ventilateur 1</t>
  </si>
  <si>
    <t>Fan1V2</t>
  </si>
  <si>
    <t>Ventilateur 1 vitesse 2</t>
  </si>
  <si>
    <t>Fan2</t>
  </si>
  <si>
    <t>Ventilateur 2</t>
  </si>
  <si>
    <t>Fan2V2</t>
  </si>
  <si>
    <t>Ventilateur 2 vitesse 2</t>
  </si>
  <si>
    <t>INDEX_CUMUL</t>
  </si>
  <si>
    <t>Totalisateur</t>
  </si>
  <si>
    <t>PTARIF</t>
  </si>
  <si>
    <t>Code de la p├⌐riode Tarifaire</t>
  </si>
  <si>
    <t>2013-04-10T15:22:10+02:00</t>
  </si>
  <si>
    <t>Totalisateur des 6 P├⌐riodes</t>
  </si>
  <si>
    <t>HPBleu</t>
  </si>
  <si>
    <t>Compteur Heure Pleine Bleu</t>
  </si>
  <si>
    <t>HCBleu</t>
  </si>
  <si>
    <t>Compteur Heure Creuse Bleu</t>
  </si>
  <si>
    <t>HPBlanc</t>
  </si>
  <si>
    <t>Compteur Heure Pleine Blanc</t>
  </si>
  <si>
    <t>HCBlanc</t>
  </si>
  <si>
    <t>Compteur Heure Creuse Blanc</t>
  </si>
  <si>
    <t>HPRouge</t>
  </si>
  <si>
    <t>Compteur Heure Pleine Rouge</t>
  </si>
  <si>
    <t>HCRouge</t>
  </si>
  <si>
    <t>Compteur Heure Creuse Rouge</t>
  </si>
  <si>
    <t>CA_Month</t>
  </si>
  <si>
    <t>CA du mois</t>
  </si>
  <si>
    <t>en kΓé¼"</t>
  </si>
  <si>
    <t>CA_Month_Total</t>
  </si>
  <si>
    <t>CA Cumul├⌐</t>
  </si>
  <si>
    <t>CA_Month_Target</t>
  </si>
  <si>
    <t>Obj du mois</t>
  </si>
  <si>
    <t>CA_Percent_Target</t>
  </si>
  <si>
    <t xml:space="preserve">Ecart </t>
  </si>
  <si>
    <t>en %"</t>
  </si>
  <si>
    <t>CA_Month_PrevYear</t>
  </si>
  <si>
    <t>CA N-1</t>
  </si>
  <si>
    <t>Admin_Bill_Sent</t>
  </si>
  <si>
    <t xml:space="preserve">Administration </t>
  </si>
  <si>
    <t>factures envoy├⌐es"</t>
  </si>
  <si>
    <t>Prod_Package_Sent</t>
  </si>
  <si>
    <t>Production</t>
  </si>
  <si>
    <t>(Nb colis envoy├⌐s)"</t>
  </si>
  <si>
    <t>AfterSales_Received</t>
  </si>
  <si>
    <t>SAV (Nb produits re├ºu)</t>
  </si>
  <si>
    <t>HotLine_Call_Number</t>
  </si>
  <si>
    <t>Hot line (Nb appel)</t>
  </si>
  <si>
    <t>Com_Action</t>
  </si>
  <si>
    <t>Action commerciale</t>
  </si>
  <si>
    <t>BE</t>
  </si>
  <si>
    <t>RH</t>
  </si>
  <si>
    <t>RH (taux de pr├⌐sence en %)</t>
  </si>
  <si>
    <t>CA_Clip</t>
  </si>
  <si>
    <t>Clip CA en kΓé¼</t>
  </si>
  <si>
    <t>CA_Easy</t>
  </si>
  <si>
    <t>Easy CA en kΓé¼</t>
  </si>
  <si>
    <t>CA_MultiGamme</t>
  </si>
  <si>
    <t>Multi-gamme CA en kΓé¼</t>
  </si>
  <si>
    <t>CA_Twiny</t>
  </si>
  <si>
    <t>Twiny CA en kΓé¼</t>
  </si>
  <si>
    <t>CA_Resail</t>
  </si>
  <si>
    <t>Revente CA en kΓé¼</t>
  </si>
  <si>
    <t>CA_Service</t>
  </si>
  <si>
    <t>Services CA en kΓé¼</t>
  </si>
  <si>
    <t>CA_Supervision</t>
  </si>
  <si>
    <t>Supervision CA en kΓé¼</t>
  </si>
  <si>
    <t>CA_Squid</t>
  </si>
  <si>
    <t>Squid CA en kΓé¼</t>
  </si>
  <si>
    <t>CA_Reste</t>
  </si>
  <si>
    <t>CA Reste ├á r├⌐aliser en kΓé¼</t>
  </si>
  <si>
    <t>CA_Year_Target</t>
  </si>
  <si>
    <t>Objectif annuel en kΓé¼</t>
  </si>
  <si>
    <t>2013-01-19T15:32:23+01:00</t>
  </si>
  <si>
    <t>2018-02-05T15:45:00+01:00</t>
  </si>
  <si>
    <t>AlarmeES</t>
  </si>
  <si>
    <t>Etat de service de l'alarme</t>
  </si>
  <si>
    <t>TExterieur</t>
  </si>
  <si>
    <t>TChaudiere</t>
  </si>
  <si>
    <t>Temp├⌐rature de la chaudi├¿re</t>
  </si>
  <si>
    <t>TSetRegulation</t>
  </si>
  <si>
    <t>Temp├⌐rature de consigne r├⌐gulation</t>
  </si>
  <si>
    <t>TRegulation</t>
  </si>
  <si>
    <t>Temp├⌐rature de r├⌐gulation chauffage</t>
  </si>
  <si>
    <t>TECS</t>
  </si>
  <si>
    <t>Temp├⌐├⌐rature ECS</t>
  </si>
  <si>
    <t>TPiscine</t>
  </si>
  <si>
    <t>Temp├⌐rature Piscine</t>
  </si>
  <si>
    <t>RunPompeECS</t>
  </si>
  <si>
    <t>Pompe ECS</t>
  </si>
  <si>
    <t>2013-12-17T02:49:00+01:00</t>
  </si>
  <si>
    <t>Alim12v</t>
  </si>
  <si>
    <t>Alimentation de la GTB</t>
  </si>
  <si>
    <t>2014-08-03T19:08:00+02:00</t>
  </si>
  <si>
    <t>Chargeur12v</t>
  </si>
  <si>
    <t>Tension de sortie du chargeur</t>
  </si>
  <si>
    <t>Batterie12v</t>
  </si>
  <si>
    <t>Tension de la batterie</t>
  </si>
  <si>
    <t>2013-08-31T09:40:00+02:00</t>
  </si>
  <si>
    <t>LumExterieur</t>
  </si>
  <si>
    <t>Luminosit├⌐ Ext├⌐rieur</t>
  </si>
  <si>
    <t>Tamb_1G</t>
  </si>
  <si>
    <t>Tamb_2B</t>
  </si>
  <si>
    <t>TAmb_2U</t>
  </si>
  <si>
    <t>Temp├⌐rature Ext├⌐rieur</t>
  </si>
  <si>
    <t>TAmb_1A</t>
  </si>
  <si>
    <t>Temp├⌐rature 1A</t>
  </si>
  <si>
    <t>TAmb_1C</t>
  </si>
  <si>
    <t>TAmb_1D</t>
  </si>
  <si>
    <t>TAmb_1E</t>
  </si>
  <si>
    <t>TAmb_1F</t>
  </si>
  <si>
    <t>Tamb_1K</t>
  </si>
  <si>
    <t>Tamb_1L</t>
  </si>
  <si>
    <t>Tamb_1M</t>
  </si>
  <si>
    <t>Tamb_2A</t>
  </si>
  <si>
    <t>Tamb_2CA</t>
  </si>
  <si>
    <t>TAmb_2CB</t>
  </si>
  <si>
    <t>TAmb_2D</t>
  </si>
  <si>
    <t>TAmb_2E</t>
  </si>
  <si>
    <t>TAmb_2F</t>
  </si>
  <si>
    <t>TAmb_2H</t>
  </si>
  <si>
    <t>TAmb_2I</t>
  </si>
  <si>
    <t>TAmb_2J</t>
  </si>
  <si>
    <t>TAmb_2M</t>
  </si>
  <si>
    <t>TAmb_2N</t>
  </si>
  <si>
    <t>TAmb_2O</t>
  </si>
  <si>
    <t>TAmb_2P</t>
  </si>
  <si>
    <t>TAmb_2Q</t>
  </si>
  <si>
    <t>TAmb_2RA</t>
  </si>
  <si>
    <t>TAmb_2RB</t>
  </si>
  <si>
    <t>TAmb_2S</t>
  </si>
  <si>
    <t>TAmb_2V</t>
  </si>
  <si>
    <t>TAmb_2W</t>
  </si>
  <si>
    <t>TAmb_2X</t>
  </si>
  <si>
    <t>2016-02-09T07:35:58+01:00</t>
  </si>
  <si>
    <t>Identifiants utilisateur du REDY</t>
  </si>
  <si>
    <t>demo</t>
  </si>
  <si>
    <t>IzEwODkxNjIwNDE=</t>
  </si>
  <si>
    <t>Le Token ci-dessous est le jeton de sécurité qui va permettre d'interroger l'API pendant 1 heure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</si>
</sst>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\ h:mm;@"/>
    <numFmt numFmtId="165" formatCode="00000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rgb="FFCC99FF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b/>
      <i/>
      <sz val="11"/>
      <color theme="1" tint="0.34998626667073579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1"/>
        <bgColor theme="1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9">
    <xf numFmtId="0" fontId="0" fillId="0" borderId="0" xfId="0"/>
    <xf numFmtId="0" fontId="0" fillId="2" borderId="0" xfId="0" applyFill="1"/>
    <xf numFmtId="0" fontId="4" fillId="2" borderId="0" xfId="0" applyFont="1" applyFill="1"/>
    <xf numFmtId="0" fontId="3" fillId="4" borderId="1" xfId="0" applyFont="1" applyFill="1" applyBorder="1"/>
    <xf numFmtId="0" fontId="5" fillId="5" borderId="0" xfId="0" applyFont="1" applyFill="1"/>
    <xf numFmtId="0" fontId="5" fillId="3" borderId="0" xfId="0" applyFont="1" applyFill="1"/>
    <xf numFmtId="14" fontId="5" fillId="3" borderId="0" xfId="0" applyNumberFormat="1" applyFont="1" applyFill="1"/>
    <xf numFmtId="14" fontId="5" fillId="5" borderId="0" xfId="0" applyNumberFormat="1" applyFont="1" applyFill="1"/>
    <xf numFmtId="0" fontId="6" fillId="6" borderId="0" xfId="0" applyFont="1" applyFill="1"/>
    <xf numFmtId="0" fontId="6" fillId="6" borderId="0" xfId="0" applyFont="1" applyFill="1" applyAlignment="1">
      <alignment horizontal="left"/>
    </xf>
    <xf numFmtId="164" fontId="5" fillId="5" borderId="0" xfId="0" applyNumberFormat="1" applyFont="1" applyFill="1"/>
    <xf numFmtId="0" fontId="5" fillId="5" borderId="0" xfId="0" applyFont="1" applyFill="1" applyAlignment="1">
      <alignment horizontal="right"/>
    </xf>
    <xf numFmtId="0" fontId="5" fillId="3" borderId="0" xfId="0" applyFont="1" applyFill="1" applyAlignment="1">
      <alignment horizontal="right"/>
    </xf>
    <xf numFmtId="2" fontId="5" fillId="5" borderId="0" xfId="0" applyNumberFormat="1" applyFont="1" applyFill="1" applyAlignment="1">
      <alignment horizontal="right"/>
    </xf>
    <xf numFmtId="2" fontId="5" fillId="3" borderId="0" xfId="0" applyNumberFormat="1" applyFont="1" applyFill="1" applyAlignment="1">
      <alignment horizontal="right"/>
    </xf>
    <xf numFmtId="164" fontId="5" fillId="5" borderId="0" xfId="0" applyNumberFormat="1" applyFont="1" applyFill="1" applyAlignment="1">
      <alignment horizontal="right"/>
    </xf>
    <xf numFmtId="164" fontId="5" fillId="3" borderId="0" xfId="0" applyNumberFormat="1" applyFont="1" applyFill="1" applyAlignment="1">
      <alignment horizontal="right"/>
    </xf>
    <xf numFmtId="0" fontId="0" fillId="2" borderId="0" xfId="0" applyFill="1" applyAlignment="1">
      <alignment horizontal="right"/>
    </xf>
    <xf numFmtId="0" fontId="7" fillId="2" borderId="0" xfId="0" applyFont="1" applyFill="1"/>
    <xf numFmtId="0" fontId="2" fillId="2" borderId="0" xfId="0" applyFont="1" applyFill="1"/>
    <xf numFmtId="0" fontId="8" fillId="2" borderId="0" xfId="0" applyFont="1" applyFill="1"/>
    <xf numFmtId="20" fontId="5" fillId="3" borderId="0" xfId="0" applyNumberFormat="1" applyFont="1" applyFill="1"/>
    <xf numFmtId="0" fontId="5" fillId="3" borderId="0" xfId="0" applyNumberFormat="1" applyFont="1" applyFill="1"/>
    <xf numFmtId="49" fontId="6" fillId="6" borderId="0" xfId="0" applyNumberFormat="1" applyFont="1" applyFill="1"/>
    <xf numFmtId="49" fontId="3" fillId="4" borderId="1" xfId="0" applyNumberFormat="1" applyFont="1" applyFill="1" applyBorder="1"/>
    <xf numFmtId="49" fontId="5" fillId="5" borderId="0" xfId="0" applyNumberFormat="1" applyFont="1" applyFill="1"/>
    <xf numFmtId="49" fontId="5" fillId="3" borderId="0" xfId="0" applyNumberFormat="1" applyFont="1" applyFill="1"/>
    <xf numFmtId="49" fontId="0" fillId="0" borderId="0" xfId="0" applyNumberFormat="1"/>
    <xf numFmtId="165" fontId="4" fillId="2" borderId="0" xfId="0" applyNumberFormat="1" applyFont="1" applyFill="1" applyProtection="1">
      <protection hidden="1"/>
    </xf>
    <xf numFmtId="0" fontId="11" fillId="2" borderId="0" xfId="0" applyFont="1" applyFill="1" applyAlignment="1"/>
    <xf numFmtId="14" fontId="0" fillId="0" borderId="0" xfId="0" applyNumberFormat="1"/>
    <xf numFmtId="0" fontId="1" fillId="2" borderId="0" xfId="1" applyFill="1"/>
    <xf numFmtId="0" fontId="13" fillId="2" borderId="0" xfId="0" applyFont="1" applyFill="1" applyAlignment="1">
      <alignment horizontal="left" vertical="center"/>
    </xf>
    <xf numFmtId="0" fontId="1" fillId="2" borderId="0" xfId="1" applyNumberFormat="1" applyFill="1" applyAlignment="1">
      <alignment horizontal="left" vertical="center"/>
    </xf>
    <xf numFmtId="0" fontId="10" fillId="2" borderId="0" xfId="0" applyNumberFormat="1" applyFont="1" applyFill="1" applyAlignment="1">
      <alignment horizontal="left" vertical="center"/>
    </xf>
    <xf numFmtId="0" fontId="6" fillId="6" borderId="0" xfId="0" applyFont="1" applyFill="1" applyAlignment="1"/>
    <xf numFmtId="0" fontId="6" fillId="6" borderId="0" xfId="0" applyFont="1" applyFill="1" applyAlignment="1">
      <alignment horizontal="left"/>
    </xf>
    <xf numFmtId="0" fontId="9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right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colors>
    <mruColors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Points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9070482922557168E-2"/>
          <c:y val="7.8556670461836037E-2"/>
          <c:w val="0.94466117854552489"/>
          <c:h val="0.87230936695274142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Points!$E$4:$E$102</c:f>
              <c:numCache>
                <c:formatCode>d/m/yy\ h:mm;@</c:formatCode>
                <c:ptCount val="99"/>
                <c:pt idx="0">
                  <c:v>42409.316643518519</c:v>
                </c:pt>
                <c:pt idx="1">
                  <c:v>41963.561805555553</c:v>
                </c:pt>
                <c:pt idx="2">
                  <c:v>41963.561111111114</c:v>
                </c:pt>
                <c:pt idx="3">
                  <c:v>41963.560416666667</c:v>
                </c:pt>
                <c:pt idx="4">
                  <c:v>41963.55972222222</c:v>
                </c:pt>
                <c:pt idx="5">
                  <c:v>41963.559027777781</c:v>
                </c:pt>
                <c:pt idx="6">
                  <c:v>41963.558333333334</c:v>
                </c:pt>
                <c:pt idx="7">
                  <c:v>41963.557638888888</c:v>
                </c:pt>
                <c:pt idx="8">
                  <c:v>41963.556944444441</c:v>
                </c:pt>
                <c:pt idx="9">
                  <c:v>41963.556250000001</c:v>
                </c:pt>
                <c:pt idx="10">
                  <c:v>41963.555555555555</c:v>
                </c:pt>
                <c:pt idx="11">
                  <c:v>41963.554861111108</c:v>
                </c:pt>
                <c:pt idx="12">
                  <c:v>41963.554166666669</c:v>
                </c:pt>
                <c:pt idx="13">
                  <c:v>41963.553472222222</c:v>
                </c:pt>
                <c:pt idx="14">
                  <c:v>41963.552777777775</c:v>
                </c:pt>
                <c:pt idx="15">
                  <c:v>41963.552083333336</c:v>
                </c:pt>
                <c:pt idx="16">
                  <c:v>41963.551388888889</c:v>
                </c:pt>
                <c:pt idx="17">
                  <c:v>41963.550694444442</c:v>
                </c:pt>
                <c:pt idx="18">
                  <c:v>41963.55</c:v>
                </c:pt>
                <c:pt idx="19">
                  <c:v>41963.549305555556</c:v>
                </c:pt>
                <c:pt idx="20">
                  <c:v>41963.548611111109</c:v>
                </c:pt>
                <c:pt idx="21">
                  <c:v>41963.54791666667</c:v>
                </c:pt>
                <c:pt idx="22">
                  <c:v>41963.547222222223</c:v>
                </c:pt>
                <c:pt idx="23">
                  <c:v>41963.546527777777</c:v>
                </c:pt>
                <c:pt idx="24">
                  <c:v>41963.54583333333</c:v>
                </c:pt>
                <c:pt idx="25">
                  <c:v>41963.545138888891</c:v>
                </c:pt>
                <c:pt idx="26">
                  <c:v>41963.544444444444</c:v>
                </c:pt>
                <c:pt idx="27">
                  <c:v>41963.543749999997</c:v>
                </c:pt>
                <c:pt idx="28">
                  <c:v>41963.543055555558</c:v>
                </c:pt>
                <c:pt idx="29">
                  <c:v>41963.542361111111</c:v>
                </c:pt>
                <c:pt idx="30">
                  <c:v>41963.541666666664</c:v>
                </c:pt>
                <c:pt idx="31">
                  <c:v>41963.540972222225</c:v>
                </c:pt>
                <c:pt idx="32">
                  <c:v>41963.540277777778</c:v>
                </c:pt>
                <c:pt idx="33">
                  <c:v>41963.539583333331</c:v>
                </c:pt>
                <c:pt idx="34">
                  <c:v>41963.538888888892</c:v>
                </c:pt>
                <c:pt idx="35">
                  <c:v>41963.538194444445</c:v>
                </c:pt>
                <c:pt idx="36">
                  <c:v>41963.537499999999</c:v>
                </c:pt>
                <c:pt idx="37">
                  <c:v>41963.536805555559</c:v>
                </c:pt>
                <c:pt idx="38">
                  <c:v>41963.536111111112</c:v>
                </c:pt>
                <c:pt idx="39">
                  <c:v>41963.535416666666</c:v>
                </c:pt>
                <c:pt idx="40">
                  <c:v>41963.534722222219</c:v>
                </c:pt>
                <c:pt idx="41">
                  <c:v>41963.53402777778</c:v>
                </c:pt>
                <c:pt idx="42">
                  <c:v>41963.533333333333</c:v>
                </c:pt>
                <c:pt idx="43">
                  <c:v>41963.532638888886</c:v>
                </c:pt>
                <c:pt idx="44">
                  <c:v>41963.531944444447</c:v>
                </c:pt>
                <c:pt idx="45">
                  <c:v>41963.53125</c:v>
                </c:pt>
                <c:pt idx="46">
                  <c:v>41963.530555555553</c:v>
                </c:pt>
                <c:pt idx="47">
                  <c:v>41963.529861111114</c:v>
                </c:pt>
                <c:pt idx="48">
                  <c:v>41963.529166666667</c:v>
                </c:pt>
                <c:pt idx="49">
                  <c:v>41963.52847222222</c:v>
                </c:pt>
                <c:pt idx="50">
                  <c:v>41963.527777777781</c:v>
                </c:pt>
                <c:pt idx="51">
                  <c:v>41963.527083333334</c:v>
                </c:pt>
                <c:pt idx="52">
                  <c:v>41963.526388888888</c:v>
                </c:pt>
                <c:pt idx="53">
                  <c:v>41963.525694444441</c:v>
                </c:pt>
                <c:pt idx="54">
                  <c:v>41963.525000000001</c:v>
                </c:pt>
                <c:pt idx="55">
                  <c:v>41963.524305555555</c:v>
                </c:pt>
                <c:pt idx="56">
                  <c:v>41963.523611111108</c:v>
                </c:pt>
                <c:pt idx="57">
                  <c:v>41963.522916666669</c:v>
                </c:pt>
                <c:pt idx="58">
                  <c:v>41963.522222222222</c:v>
                </c:pt>
                <c:pt idx="59">
                  <c:v>41963.521527777775</c:v>
                </c:pt>
                <c:pt idx="60">
                  <c:v>41963.520833333336</c:v>
                </c:pt>
                <c:pt idx="61">
                  <c:v>41963.520138888889</c:v>
                </c:pt>
                <c:pt idx="62">
                  <c:v>41963.519444444442</c:v>
                </c:pt>
                <c:pt idx="63">
                  <c:v>41963.518750000003</c:v>
                </c:pt>
                <c:pt idx="64">
                  <c:v>41963.518055555556</c:v>
                </c:pt>
                <c:pt idx="65">
                  <c:v>41963.517361111109</c:v>
                </c:pt>
                <c:pt idx="66">
                  <c:v>41963.51666666667</c:v>
                </c:pt>
                <c:pt idx="67">
                  <c:v>41963.515972222223</c:v>
                </c:pt>
                <c:pt idx="68">
                  <c:v>41963.515277777777</c:v>
                </c:pt>
                <c:pt idx="69">
                  <c:v>41963.51458333333</c:v>
                </c:pt>
                <c:pt idx="70">
                  <c:v>41963.513888888891</c:v>
                </c:pt>
                <c:pt idx="71">
                  <c:v>41963.513194444444</c:v>
                </c:pt>
                <c:pt idx="72">
                  <c:v>41963.512499999997</c:v>
                </c:pt>
                <c:pt idx="73">
                  <c:v>41963.511805555558</c:v>
                </c:pt>
                <c:pt idx="74">
                  <c:v>41963.511111111111</c:v>
                </c:pt>
                <c:pt idx="75">
                  <c:v>41963.510416666664</c:v>
                </c:pt>
                <c:pt idx="76">
                  <c:v>41963.509722222225</c:v>
                </c:pt>
                <c:pt idx="77">
                  <c:v>41963.509027777778</c:v>
                </c:pt>
                <c:pt idx="78">
                  <c:v>41963.508333333331</c:v>
                </c:pt>
                <c:pt idx="79">
                  <c:v>41963.507638888892</c:v>
                </c:pt>
                <c:pt idx="80">
                  <c:v>41963.506944444445</c:v>
                </c:pt>
                <c:pt idx="81">
                  <c:v>41963.506249999999</c:v>
                </c:pt>
                <c:pt idx="82">
                  <c:v>41963.505555555559</c:v>
                </c:pt>
                <c:pt idx="83">
                  <c:v>41963.504861111112</c:v>
                </c:pt>
                <c:pt idx="84">
                  <c:v>41963.504166666666</c:v>
                </c:pt>
                <c:pt idx="85">
                  <c:v>41963.503472222219</c:v>
                </c:pt>
                <c:pt idx="86">
                  <c:v>41963.50277777778</c:v>
                </c:pt>
                <c:pt idx="87">
                  <c:v>41963.502083333333</c:v>
                </c:pt>
                <c:pt idx="88">
                  <c:v>41963.501388888886</c:v>
                </c:pt>
                <c:pt idx="89">
                  <c:v>41963.500694444447</c:v>
                </c:pt>
                <c:pt idx="90">
                  <c:v>41963.5</c:v>
                </c:pt>
                <c:pt idx="91">
                  <c:v>41963.499305555553</c:v>
                </c:pt>
                <c:pt idx="92">
                  <c:v>41963.498611111114</c:v>
                </c:pt>
                <c:pt idx="93">
                  <c:v>41963.497916666667</c:v>
                </c:pt>
                <c:pt idx="94">
                  <c:v>41963.49722222222</c:v>
                </c:pt>
                <c:pt idx="95">
                  <c:v>41963.496527777781</c:v>
                </c:pt>
                <c:pt idx="96">
                  <c:v>41963.495833333334</c:v>
                </c:pt>
                <c:pt idx="97">
                  <c:v>41963.495138888888</c:v>
                </c:pt>
                <c:pt idx="98">
                  <c:v>41963.494444444441</c:v>
                </c:pt>
              </c:numCache>
            </c:numRef>
          </c:xVal>
          <c:yVal>
            <c:numRef>
              <c:f>Points!$F$4:$F$102</c:f>
              <c:numCache>
                <c:formatCode>General</c:formatCode>
                <c:ptCount val="99"/>
                <c:pt idx="0">
                  <c:v>0</c:v>
                </c:pt>
                <c:pt idx="1">
                  <c:v>23.44</c:v>
                </c:pt>
                <c:pt idx="2">
                  <c:v>23.44</c:v>
                </c:pt>
                <c:pt idx="3">
                  <c:v>23.5</c:v>
                </c:pt>
                <c:pt idx="4">
                  <c:v>23.47</c:v>
                </c:pt>
                <c:pt idx="5">
                  <c:v>23.5</c:v>
                </c:pt>
                <c:pt idx="6">
                  <c:v>23.45</c:v>
                </c:pt>
                <c:pt idx="7">
                  <c:v>23.45</c:v>
                </c:pt>
                <c:pt idx="8">
                  <c:v>23.44</c:v>
                </c:pt>
                <c:pt idx="9">
                  <c:v>23.43</c:v>
                </c:pt>
                <c:pt idx="10">
                  <c:v>23.41</c:v>
                </c:pt>
                <c:pt idx="11">
                  <c:v>23.41</c:v>
                </c:pt>
                <c:pt idx="12">
                  <c:v>23.46</c:v>
                </c:pt>
                <c:pt idx="13">
                  <c:v>23.39</c:v>
                </c:pt>
                <c:pt idx="14">
                  <c:v>23.4</c:v>
                </c:pt>
                <c:pt idx="15">
                  <c:v>23.41</c:v>
                </c:pt>
                <c:pt idx="16">
                  <c:v>23.35</c:v>
                </c:pt>
                <c:pt idx="17">
                  <c:v>23.37</c:v>
                </c:pt>
                <c:pt idx="18">
                  <c:v>23.4</c:v>
                </c:pt>
                <c:pt idx="19">
                  <c:v>23.38</c:v>
                </c:pt>
                <c:pt idx="20">
                  <c:v>23.42</c:v>
                </c:pt>
                <c:pt idx="21">
                  <c:v>23.4</c:v>
                </c:pt>
                <c:pt idx="22">
                  <c:v>23.38</c:v>
                </c:pt>
                <c:pt idx="23">
                  <c:v>23.36</c:v>
                </c:pt>
                <c:pt idx="24">
                  <c:v>23.37</c:v>
                </c:pt>
                <c:pt idx="25">
                  <c:v>23.34</c:v>
                </c:pt>
                <c:pt idx="26">
                  <c:v>23.36</c:v>
                </c:pt>
                <c:pt idx="27">
                  <c:v>23.35</c:v>
                </c:pt>
                <c:pt idx="28">
                  <c:v>23.39</c:v>
                </c:pt>
                <c:pt idx="29">
                  <c:v>23.38</c:v>
                </c:pt>
                <c:pt idx="30">
                  <c:v>23.37</c:v>
                </c:pt>
                <c:pt idx="31">
                  <c:v>23.34</c:v>
                </c:pt>
                <c:pt idx="32">
                  <c:v>23.34</c:v>
                </c:pt>
                <c:pt idx="33">
                  <c:v>23.36</c:v>
                </c:pt>
                <c:pt idx="34">
                  <c:v>23.36</c:v>
                </c:pt>
                <c:pt idx="35">
                  <c:v>23.29</c:v>
                </c:pt>
                <c:pt idx="36">
                  <c:v>23.23</c:v>
                </c:pt>
                <c:pt idx="37">
                  <c:v>23.27</c:v>
                </c:pt>
                <c:pt idx="38">
                  <c:v>23.27</c:v>
                </c:pt>
                <c:pt idx="39">
                  <c:v>23.24</c:v>
                </c:pt>
                <c:pt idx="40">
                  <c:v>23.2</c:v>
                </c:pt>
                <c:pt idx="41">
                  <c:v>23.13</c:v>
                </c:pt>
                <c:pt idx="42">
                  <c:v>23.12</c:v>
                </c:pt>
                <c:pt idx="43">
                  <c:v>23.16</c:v>
                </c:pt>
                <c:pt idx="44">
                  <c:v>23.14</c:v>
                </c:pt>
                <c:pt idx="45">
                  <c:v>23.1</c:v>
                </c:pt>
                <c:pt idx="46">
                  <c:v>23.11</c:v>
                </c:pt>
                <c:pt idx="47">
                  <c:v>23.14</c:v>
                </c:pt>
                <c:pt idx="48">
                  <c:v>23.06</c:v>
                </c:pt>
                <c:pt idx="49">
                  <c:v>23.04</c:v>
                </c:pt>
                <c:pt idx="50">
                  <c:v>23.08</c:v>
                </c:pt>
                <c:pt idx="51">
                  <c:v>23.01</c:v>
                </c:pt>
                <c:pt idx="52">
                  <c:v>22.95</c:v>
                </c:pt>
                <c:pt idx="53">
                  <c:v>22.89</c:v>
                </c:pt>
                <c:pt idx="54">
                  <c:v>22.95</c:v>
                </c:pt>
                <c:pt idx="55">
                  <c:v>22.98</c:v>
                </c:pt>
                <c:pt idx="56">
                  <c:v>22.94</c:v>
                </c:pt>
                <c:pt idx="57">
                  <c:v>22.91</c:v>
                </c:pt>
                <c:pt idx="58">
                  <c:v>22.88</c:v>
                </c:pt>
                <c:pt idx="59">
                  <c:v>22.82</c:v>
                </c:pt>
                <c:pt idx="60">
                  <c:v>22.73</c:v>
                </c:pt>
                <c:pt idx="61">
                  <c:v>22.81</c:v>
                </c:pt>
                <c:pt idx="62">
                  <c:v>22.74</c:v>
                </c:pt>
                <c:pt idx="63">
                  <c:v>22.79</c:v>
                </c:pt>
                <c:pt idx="64">
                  <c:v>22.85</c:v>
                </c:pt>
                <c:pt idx="65">
                  <c:v>22.87</c:v>
                </c:pt>
                <c:pt idx="66">
                  <c:v>22.81</c:v>
                </c:pt>
                <c:pt idx="67">
                  <c:v>22.82</c:v>
                </c:pt>
                <c:pt idx="68">
                  <c:v>22.78</c:v>
                </c:pt>
                <c:pt idx="69">
                  <c:v>22.71</c:v>
                </c:pt>
                <c:pt idx="70">
                  <c:v>22.63</c:v>
                </c:pt>
                <c:pt idx="71">
                  <c:v>22.68</c:v>
                </c:pt>
                <c:pt idx="72">
                  <c:v>22.69</c:v>
                </c:pt>
                <c:pt idx="73">
                  <c:v>22.71</c:v>
                </c:pt>
                <c:pt idx="74">
                  <c:v>22.69</c:v>
                </c:pt>
                <c:pt idx="75">
                  <c:v>22.66</c:v>
                </c:pt>
                <c:pt idx="76">
                  <c:v>22.62</c:v>
                </c:pt>
                <c:pt idx="77">
                  <c:v>22.63</c:v>
                </c:pt>
                <c:pt idx="78">
                  <c:v>22.58</c:v>
                </c:pt>
                <c:pt idx="79">
                  <c:v>22.53</c:v>
                </c:pt>
                <c:pt idx="80">
                  <c:v>22.56</c:v>
                </c:pt>
                <c:pt idx="81">
                  <c:v>22.58</c:v>
                </c:pt>
                <c:pt idx="82">
                  <c:v>22.6</c:v>
                </c:pt>
                <c:pt idx="83">
                  <c:v>22.61</c:v>
                </c:pt>
                <c:pt idx="84">
                  <c:v>22.58</c:v>
                </c:pt>
                <c:pt idx="85">
                  <c:v>22.56</c:v>
                </c:pt>
                <c:pt idx="86">
                  <c:v>22.56</c:v>
                </c:pt>
                <c:pt idx="87">
                  <c:v>22.51</c:v>
                </c:pt>
                <c:pt idx="88">
                  <c:v>22.49</c:v>
                </c:pt>
                <c:pt idx="89">
                  <c:v>22.49</c:v>
                </c:pt>
                <c:pt idx="90">
                  <c:v>22.53</c:v>
                </c:pt>
                <c:pt idx="91">
                  <c:v>22.49</c:v>
                </c:pt>
                <c:pt idx="92">
                  <c:v>22.48</c:v>
                </c:pt>
                <c:pt idx="93">
                  <c:v>22.47</c:v>
                </c:pt>
                <c:pt idx="94">
                  <c:v>22.46</c:v>
                </c:pt>
                <c:pt idx="95">
                  <c:v>22.4</c:v>
                </c:pt>
                <c:pt idx="96">
                  <c:v>22.33</c:v>
                </c:pt>
                <c:pt idx="97">
                  <c:v>22.39</c:v>
                </c:pt>
                <c:pt idx="98">
                  <c:v>22.45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C7-4428-A3E4-F4BAB88B0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688776"/>
        <c:axId val="436687208"/>
      </c:scatterChart>
      <c:valAx>
        <c:axId val="436688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/m/yy\ h: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6687208"/>
        <c:crosses val="autoZero"/>
        <c:crossBetween val="midCat"/>
      </c:valAx>
      <c:valAx>
        <c:axId val="436687208"/>
        <c:scaling>
          <c:orientation val="minMax"/>
          <c:max val="2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6688776"/>
        <c:crosses val="autoZero"/>
        <c:crossBetween val="midCat"/>
      </c:valAx>
      <c:spPr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</xdr:colOff>
      <xdr:row>1</xdr:row>
      <xdr:rowOff>135172</xdr:rowOff>
    </xdr:from>
    <xdr:to>
      <xdr:col>6</xdr:col>
      <xdr:colOff>477080</xdr:colOff>
      <xdr:row>1</xdr:row>
      <xdr:rowOff>1439186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34680" y="437322"/>
          <a:ext cx="1304014" cy="1304014"/>
        </a:xfrm>
        <a:prstGeom prst="rect">
          <a:avLst/>
        </a:prstGeom>
      </xdr:spPr>
    </xdr:pic>
    <xdr:clientData/>
  </xdr:twoCellAnchor>
  <xdr:twoCellAnchor editAs="oneCell">
    <xdr:from>
      <xdr:col>0</xdr:col>
      <xdr:colOff>818985</xdr:colOff>
      <xdr:row>1</xdr:row>
      <xdr:rowOff>63611</xdr:rowOff>
    </xdr:from>
    <xdr:to>
      <xdr:col>2</xdr:col>
      <xdr:colOff>652008</xdr:colOff>
      <xdr:row>1</xdr:row>
      <xdr:rowOff>1550505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985" y="365761"/>
          <a:ext cx="1486894" cy="1486894"/>
        </a:xfrm>
        <a:prstGeom prst="rect">
          <a:avLst/>
        </a:prstGeom>
      </xdr:spPr>
    </xdr:pic>
    <xdr:clientData/>
  </xdr:twoCellAnchor>
  <xdr:twoCellAnchor>
    <xdr:from>
      <xdr:col>3</xdr:col>
      <xdr:colOff>127222</xdr:colOff>
      <xdr:row>1</xdr:row>
      <xdr:rowOff>413467</xdr:rowOff>
    </xdr:from>
    <xdr:to>
      <xdr:col>4</xdr:col>
      <xdr:colOff>508884</xdr:colOff>
      <xdr:row>1</xdr:row>
      <xdr:rowOff>1176793</xdr:rowOff>
    </xdr:to>
    <xdr:sp macro="" textlink="">
      <xdr:nvSpPr>
        <xdr:cNvPr id="4" name="Double flèche horizonta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608029" y="715617"/>
          <a:ext cx="1208598" cy="763326"/>
        </a:xfrm>
        <a:prstGeom prst="leftRightArrow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64736</xdr:rowOff>
        </xdr:from>
        <xdr:to>
          <xdr:col>3</xdr:col>
          <xdr:colOff>121381</xdr:colOff>
          <xdr:row>7</xdr:row>
          <xdr:rowOff>56644</xdr:rowOff>
        </xdr:to>
        <xdr:sp macro="" textlink="">
          <xdr:nvSpPr>
            <xdr:cNvPr id="3074" name="CommandButtonToke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8092</xdr:colOff>
          <xdr:row>0</xdr:row>
          <xdr:rowOff>0</xdr:rowOff>
        </xdr:from>
        <xdr:to>
          <xdr:col>3</xdr:col>
          <xdr:colOff>906308</xdr:colOff>
          <xdr:row>2</xdr:row>
          <xdr:rowOff>0</xdr:rowOff>
        </xdr:to>
        <xdr:sp macro="" textlink="">
          <xdr:nvSpPr>
            <xdr:cNvPr id="6146" name="CommandButtonDatas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8092</xdr:colOff>
          <xdr:row>0</xdr:row>
          <xdr:rowOff>0</xdr:rowOff>
        </xdr:from>
        <xdr:to>
          <xdr:col>9</xdr:col>
          <xdr:colOff>121381</xdr:colOff>
          <xdr:row>1</xdr:row>
          <xdr:rowOff>226577</xdr:rowOff>
        </xdr:to>
        <xdr:sp macro="" textlink="">
          <xdr:nvSpPr>
            <xdr:cNvPr id="7169" name="CommandButtonPoint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18707</xdr:colOff>
      <xdr:row>3</xdr:row>
      <xdr:rowOff>28062</xdr:rowOff>
    </xdr:from>
    <xdr:to>
      <xdr:col>14</xdr:col>
      <xdr:colOff>608039</xdr:colOff>
      <xdr:row>35</xdr:row>
      <xdr:rowOff>37418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18" growShrinkType="overwriteClear" connectionId="80" xr16:uid="{00000000-0016-0000-0200-00003C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16" growShrinkType="overwriteClear" connectionId="85" xr16:uid="{00000000-0016-0000-0200-00003B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7" growShrinkType="overwriteClear" connectionId="27" xr16:uid="{00000000-0016-0000-0200-00003A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4" growShrinkType="overwriteClear" connectionId="19" xr16:uid="{00000000-0016-0000-0200-000039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3" growShrinkType="overwriteClear" connectionId="70" xr16:uid="{00000000-0016-0000-0200-000038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" growShrinkType="overwriteClear" connectionId="1" xr16:uid="{00000000-0016-0000-0200-000037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3" growShrinkType="overwriteClear" connectionId="18" xr16:uid="{00000000-0016-0000-0200-000036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4" growShrinkType="overwriteClear" connectionId="9" xr16:uid="{00000000-0016-0000-0200-000035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5" growShrinkType="overwriteClear" connectionId="12" xr16:uid="{00000000-0016-0000-0200-000034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5" growShrinkType="overwriteClear" connectionId="20" xr16:uid="{00000000-0016-0000-0200-000033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9" growShrinkType="overwriteClear" connectionId="3" xr16:uid="{00000000-0016-0000-0200-000032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0" growShrinkType="overwriteClear" connectionId="30" xr16:uid="{00000000-0016-0000-0200-000031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8" growShrinkType="overwriteClear" connectionId="23" xr16:uid="{00000000-0016-0000-0200-000030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4" growShrinkType="overwriteClear" connectionId="31" xr16:uid="{00000000-0016-0000-0200-00002F00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6" growShrinkType="overwriteClear" connectionId="21" xr16:uid="{00000000-0016-0000-0200-00002E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6" growShrinkType="overwriteClear" connectionId="26" xr16:uid="{00000000-0016-0000-0200-00002D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1" growShrinkType="overwriteClear" connectionId="6" xr16:uid="{00000000-0016-0000-0200-00002C00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17" growShrinkType="overwriteClear" connectionId="83" xr16:uid="{00000000-0016-0000-0200-00002B00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2" growShrinkType="overwriteClear" connectionId="7" xr16:uid="{00000000-0016-0000-0200-00002A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9" growShrinkType="overwriteClear" connectionId="29" xr16:uid="{00000000-0016-0000-0200-00002900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2" growShrinkType="overwriteClear" connectionId="10" xr16:uid="{00000000-0016-0000-0200-000028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0" growShrinkType="overwriteClear" connectionId="5" xr16:uid="{00000000-0016-0000-0200-000027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1" growShrinkType="overwriteClear" connectionId="2" xr16:uid="{00000000-0016-0000-0200-000026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5" growShrinkType="overwriteClear" connectionId="24" xr16:uid="{00000000-0016-0000-0200-000025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8" growShrinkType="overwriteClear" connectionId="28" xr16:uid="{00000000-0016-0000-0200-000024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0" growShrinkType="overwriteClear" connectionId="76" xr16:uid="{00000000-0016-0000-0200-000023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6" growShrinkType="overwriteClear" connectionId="13" xr16:uid="{00000000-0016-0000-0200-000022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9" growShrinkType="overwriteClear" connectionId="16" xr16:uid="{00000000-0016-0000-0200-00002100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8" growShrinkType="overwriteClear" connectionId="15" xr16:uid="{00000000-0016-0000-0200-000020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19" growShrinkType="overwriteClear" connectionId="78" xr16:uid="{00000000-0016-0000-0200-00001F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2" growShrinkType="overwriteClear" connectionId="74" xr16:uid="{00000000-0016-0000-0200-00001E00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7" growShrinkType="overwriteClear" connectionId="14" xr16:uid="{00000000-0016-0000-0200-00001D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3" growShrinkType="overwriteClear" connectionId="8" xr16:uid="{00000000-0016-0000-0200-00001C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1" growShrinkType="overwriteClear" connectionId="72" xr16:uid="{00000000-0016-0000-0200-00001B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7" growShrinkType="overwriteClear" connectionId="22" xr16:uid="{00000000-0016-0000-0200-00001A00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8" growShrinkType="overwriteClear" connectionId="51" xr16:uid="{00000000-0016-0000-0300-00006600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5" growShrinkType="overwriteClear" connectionId="59" xr16:uid="{00000000-0016-0000-0300-00006500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8" growShrinkType="overwriteClear" connectionId="62" xr16:uid="{00000000-0016-0000-0300-00006400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6" growShrinkType="overwriteClear" connectionId="56" xr16:uid="{00000000-0016-0000-0300-00006300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9" growShrinkType="overwriteClear" connectionId="52" xr16:uid="{00000000-0016-0000-0300-000062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1" growShrinkType="overwriteClear" connectionId="43" xr16:uid="{00000000-0016-0000-0300-000061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4" growShrinkType="overwriteClear" connectionId="32" xr16:uid="{00000000-0016-0000-0300-000060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6" growShrinkType="overwriteClear" connectionId="49" xr16:uid="{00000000-0016-0000-0300-00005F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2" growShrinkType="overwriteClear" connectionId="11" xr16:uid="{00000000-0016-0000-0300-00005E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8" growShrinkType="overwriteClear" connectionId="40" xr16:uid="{00000000-0016-0000-0300-00005D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4" growShrinkType="overwriteClear" connectionId="47" xr16:uid="{00000000-0016-0000-0300-00005C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7" growShrinkType="overwriteClear" connectionId="50" xr16:uid="{00000000-0016-0000-0300-00005B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6" growShrinkType="overwriteClear" connectionId="38" xr16:uid="{00000000-0016-0000-0300-00005A00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9" growShrinkType="overwriteClear" connectionId="41" xr16:uid="{00000000-0016-0000-0300-000059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6" growShrinkType="overwriteClear" connectionId="60" xr16:uid="{00000000-0016-0000-0300-000058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5" growShrinkType="overwriteClear" connectionId="37" xr16:uid="{00000000-0016-0000-0300-000057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7" growShrinkType="overwriteClear" connectionId="64" xr16:uid="{00000000-0016-0000-0300-000056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" growShrinkType="overwriteClear" connectionId="17" xr16:uid="{00000000-0016-0000-0300-000055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1" growShrinkType="overwriteClear" connectionId="68" xr16:uid="{00000000-0016-0000-0300-000054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2" growShrinkType="overwriteClear" connectionId="55" xr16:uid="{00000000-0016-0000-0300-000053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7" growShrinkType="overwriteClear" connectionId="39" xr16:uid="{00000000-0016-0000-0300-000052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9" growShrinkType="overwriteClear" connectionId="63" xr16:uid="{00000000-0016-0000-0300-000051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4" growShrinkType="overwriteClear" connectionId="36" xr16:uid="{00000000-0016-0000-0300-000050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1" growShrinkType="overwriteClear" connectionId="4" xr16:uid="{00000000-0016-0000-0300-00004F00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25" growShrinkType="overwriteClear" connectionId="25" xr16:uid="{00000000-0016-0000-0300-00004E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5" growShrinkType="overwriteClear" connectionId="48" xr16:uid="{00000000-0016-0000-0300-00004D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3" growShrinkType="overwriteClear" connectionId="57" xr16:uid="{00000000-0016-0000-0300-00004C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2" growShrinkType="overwriteClear" connectionId="69" xr16:uid="{00000000-0016-0000-0300-00004B00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3" growShrinkType="overwriteClear" connectionId="46" xr16:uid="{00000000-0016-0000-0300-00004A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0" growShrinkType="overwriteClear" connectionId="42" xr16:uid="{00000000-0016-0000-0300-00004900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8" growShrinkType="overwriteClear" connectionId="65" xr16:uid="{00000000-0016-0000-0300-000048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52" growShrinkType="overwriteClear" connectionId="44" xr16:uid="{00000000-0016-0000-0300-000047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0" growShrinkType="overwriteClear" connectionId="53" xr16:uid="{00000000-0016-0000-0300-00004600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9" growShrinkType="overwriteClear" connectionId="66" xr16:uid="{00000000-0016-0000-0300-000045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3" growShrinkType="overwriteClear" connectionId="35" xr16:uid="{00000000-0016-0000-0300-000044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4" growShrinkType="overwriteClear" connectionId="58" xr16:uid="{00000000-0016-0000-0300-000043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3" growShrinkType="overwriteClear" connectionId="33" xr16:uid="{00000000-0016-0000-0300-000042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5" growShrinkType="overwriteClear" connectionId="45" xr16:uid="{00000000-0016-0000-0300-000041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40" growShrinkType="overwriteClear" connectionId="67" xr16:uid="{00000000-0016-0000-0300-000040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34" growShrinkType="overwriteClear" connectionId="34" xr16:uid="{00000000-0016-0000-0300-00003F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1" growShrinkType="overwriteClear" connectionId="54" xr16:uid="{00000000-0016-0000-0300-00003E00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APTURE_67" growShrinkType="overwriteClear" connectionId="61" xr16:uid="{00000000-0016-0000-0300-00003D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19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4AF05B4F-3676-4713-B821-8E7B0DE72834}">
  <we:reference id="wa104047359" version="1.0.0.0" store="fr-FR" storeType="OMEX"/>
  <we:alternateReferences>
    <we:reference id="WA104047359" version="1.0.0.0" store="WA10404735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aem.st@orange.fr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13" Type="http://schemas.openxmlformats.org/officeDocument/2006/relationships/queryTable" Target="../queryTables/queryTable8.xml"/><Relationship Id="rId18" Type="http://schemas.openxmlformats.org/officeDocument/2006/relationships/queryTable" Target="../queryTables/queryTable13.xml"/><Relationship Id="rId26" Type="http://schemas.openxmlformats.org/officeDocument/2006/relationships/queryTable" Target="../queryTables/queryTable21.xml"/><Relationship Id="rId39" Type="http://schemas.openxmlformats.org/officeDocument/2006/relationships/queryTable" Target="../queryTables/queryTable34.xml"/><Relationship Id="rId3" Type="http://schemas.openxmlformats.org/officeDocument/2006/relationships/vmlDrawing" Target="../drawings/vmlDrawing2.vml"/><Relationship Id="rId21" Type="http://schemas.openxmlformats.org/officeDocument/2006/relationships/queryTable" Target="../queryTables/queryTable16.xml"/><Relationship Id="rId34" Type="http://schemas.openxmlformats.org/officeDocument/2006/relationships/queryTable" Target="../queryTables/queryTable29.xml"/><Relationship Id="rId7" Type="http://schemas.openxmlformats.org/officeDocument/2006/relationships/queryTable" Target="../queryTables/queryTable2.xml"/><Relationship Id="rId12" Type="http://schemas.openxmlformats.org/officeDocument/2006/relationships/queryTable" Target="../queryTables/queryTable7.xml"/><Relationship Id="rId17" Type="http://schemas.openxmlformats.org/officeDocument/2006/relationships/queryTable" Target="../queryTables/queryTable12.xml"/><Relationship Id="rId25" Type="http://schemas.openxmlformats.org/officeDocument/2006/relationships/queryTable" Target="../queryTables/queryTable20.xml"/><Relationship Id="rId33" Type="http://schemas.openxmlformats.org/officeDocument/2006/relationships/queryTable" Target="../queryTables/queryTable28.xml"/><Relationship Id="rId38" Type="http://schemas.openxmlformats.org/officeDocument/2006/relationships/queryTable" Target="../queryTables/queryTable33.xml"/><Relationship Id="rId2" Type="http://schemas.openxmlformats.org/officeDocument/2006/relationships/drawing" Target="../drawings/drawing2.xml"/><Relationship Id="rId16" Type="http://schemas.openxmlformats.org/officeDocument/2006/relationships/queryTable" Target="../queryTables/queryTable11.xml"/><Relationship Id="rId20" Type="http://schemas.openxmlformats.org/officeDocument/2006/relationships/queryTable" Target="../queryTables/queryTable15.xml"/><Relationship Id="rId29" Type="http://schemas.openxmlformats.org/officeDocument/2006/relationships/queryTable" Target="../queryTables/queryTable24.xml"/><Relationship Id="rId1" Type="http://schemas.openxmlformats.org/officeDocument/2006/relationships/hyperlink" Target="https://beta.wit-datacenter.com/wapi/WACC0RSK09BH21G/Data" TargetMode="External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24" Type="http://schemas.openxmlformats.org/officeDocument/2006/relationships/queryTable" Target="../queryTables/queryTable19.xml"/><Relationship Id="rId32" Type="http://schemas.openxmlformats.org/officeDocument/2006/relationships/queryTable" Target="../queryTables/queryTable27.xml"/><Relationship Id="rId37" Type="http://schemas.openxmlformats.org/officeDocument/2006/relationships/queryTable" Target="../queryTables/queryTable32.xml"/><Relationship Id="rId40" Type="http://schemas.openxmlformats.org/officeDocument/2006/relationships/queryTable" Target="../queryTables/queryTable35.xml"/><Relationship Id="rId5" Type="http://schemas.openxmlformats.org/officeDocument/2006/relationships/image" Target="../media/image4.emf"/><Relationship Id="rId15" Type="http://schemas.openxmlformats.org/officeDocument/2006/relationships/queryTable" Target="../queryTables/queryTable10.xml"/><Relationship Id="rId23" Type="http://schemas.openxmlformats.org/officeDocument/2006/relationships/queryTable" Target="../queryTables/queryTable18.xml"/><Relationship Id="rId28" Type="http://schemas.openxmlformats.org/officeDocument/2006/relationships/queryTable" Target="../queryTables/queryTable23.xml"/><Relationship Id="rId36" Type="http://schemas.openxmlformats.org/officeDocument/2006/relationships/queryTable" Target="../queryTables/queryTable31.xml"/><Relationship Id="rId10" Type="http://schemas.openxmlformats.org/officeDocument/2006/relationships/queryTable" Target="../queryTables/queryTable5.xml"/><Relationship Id="rId19" Type="http://schemas.openxmlformats.org/officeDocument/2006/relationships/queryTable" Target="../queryTables/queryTable14.xml"/><Relationship Id="rId31" Type="http://schemas.openxmlformats.org/officeDocument/2006/relationships/queryTable" Target="../queryTables/queryTable26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4.xml"/><Relationship Id="rId14" Type="http://schemas.openxmlformats.org/officeDocument/2006/relationships/queryTable" Target="../queryTables/queryTable9.xml"/><Relationship Id="rId22" Type="http://schemas.openxmlformats.org/officeDocument/2006/relationships/queryTable" Target="../queryTables/queryTable17.xml"/><Relationship Id="rId27" Type="http://schemas.openxmlformats.org/officeDocument/2006/relationships/queryTable" Target="../queryTables/queryTable22.xml"/><Relationship Id="rId30" Type="http://schemas.openxmlformats.org/officeDocument/2006/relationships/queryTable" Target="../queryTables/queryTable25.xml"/><Relationship Id="rId35" Type="http://schemas.openxmlformats.org/officeDocument/2006/relationships/queryTable" Target="../queryTables/queryTable3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8.xml"/><Relationship Id="rId13" Type="http://schemas.openxmlformats.org/officeDocument/2006/relationships/queryTable" Target="../queryTables/queryTable43.xml"/><Relationship Id="rId18" Type="http://schemas.openxmlformats.org/officeDocument/2006/relationships/queryTable" Target="../queryTables/queryTable48.xml"/><Relationship Id="rId26" Type="http://schemas.openxmlformats.org/officeDocument/2006/relationships/queryTable" Target="../queryTables/queryTable56.xml"/><Relationship Id="rId39" Type="http://schemas.openxmlformats.org/officeDocument/2006/relationships/queryTable" Target="../queryTables/queryTable69.xml"/><Relationship Id="rId3" Type="http://schemas.openxmlformats.org/officeDocument/2006/relationships/vmlDrawing" Target="../drawings/vmlDrawing3.vml"/><Relationship Id="rId21" Type="http://schemas.openxmlformats.org/officeDocument/2006/relationships/queryTable" Target="../queryTables/queryTable51.xml"/><Relationship Id="rId34" Type="http://schemas.openxmlformats.org/officeDocument/2006/relationships/queryTable" Target="../queryTables/queryTable64.xml"/><Relationship Id="rId42" Type="http://schemas.openxmlformats.org/officeDocument/2006/relationships/queryTable" Target="../queryTables/queryTable72.xml"/><Relationship Id="rId47" Type="http://schemas.openxmlformats.org/officeDocument/2006/relationships/queryTable" Target="../queryTables/queryTable77.xml"/><Relationship Id="rId7" Type="http://schemas.openxmlformats.org/officeDocument/2006/relationships/queryTable" Target="../queryTables/queryTable37.xml"/><Relationship Id="rId12" Type="http://schemas.openxmlformats.org/officeDocument/2006/relationships/queryTable" Target="../queryTables/queryTable42.xml"/><Relationship Id="rId17" Type="http://schemas.openxmlformats.org/officeDocument/2006/relationships/queryTable" Target="../queryTables/queryTable47.xml"/><Relationship Id="rId25" Type="http://schemas.openxmlformats.org/officeDocument/2006/relationships/queryTable" Target="../queryTables/queryTable55.xml"/><Relationship Id="rId33" Type="http://schemas.openxmlformats.org/officeDocument/2006/relationships/queryTable" Target="../queryTables/queryTable63.xml"/><Relationship Id="rId38" Type="http://schemas.openxmlformats.org/officeDocument/2006/relationships/queryTable" Target="../queryTables/queryTable68.xml"/><Relationship Id="rId46" Type="http://schemas.openxmlformats.org/officeDocument/2006/relationships/queryTable" Target="../queryTables/queryTable76.xml"/><Relationship Id="rId2" Type="http://schemas.openxmlformats.org/officeDocument/2006/relationships/drawing" Target="../drawings/drawing3.xml"/><Relationship Id="rId16" Type="http://schemas.openxmlformats.org/officeDocument/2006/relationships/queryTable" Target="../queryTables/queryTable46.xml"/><Relationship Id="rId20" Type="http://schemas.openxmlformats.org/officeDocument/2006/relationships/queryTable" Target="../queryTables/queryTable50.xml"/><Relationship Id="rId29" Type="http://schemas.openxmlformats.org/officeDocument/2006/relationships/queryTable" Target="../queryTables/queryTable59.xml"/><Relationship Id="rId41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6.xml"/><Relationship Id="rId11" Type="http://schemas.openxmlformats.org/officeDocument/2006/relationships/queryTable" Target="../queryTables/queryTable41.xml"/><Relationship Id="rId24" Type="http://schemas.openxmlformats.org/officeDocument/2006/relationships/queryTable" Target="../queryTables/queryTable54.xml"/><Relationship Id="rId32" Type="http://schemas.openxmlformats.org/officeDocument/2006/relationships/queryTable" Target="../queryTables/queryTable62.xml"/><Relationship Id="rId37" Type="http://schemas.openxmlformats.org/officeDocument/2006/relationships/queryTable" Target="../queryTables/queryTable67.xml"/><Relationship Id="rId40" Type="http://schemas.openxmlformats.org/officeDocument/2006/relationships/queryTable" Target="../queryTables/queryTable70.xml"/><Relationship Id="rId45" Type="http://schemas.openxmlformats.org/officeDocument/2006/relationships/queryTable" Target="../queryTables/queryTable75.xml"/><Relationship Id="rId5" Type="http://schemas.openxmlformats.org/officeDocument/2006/relationships/image" Target="../media/image5.emf"/><Relationship Id="rId15" Type="http://schemas.openxmlformats.org/officeDocument/2006/relationships/queryTable" Target="../queryTables/queryTable45.xml"/><Relationship Id="rId23" Type="http://schemas.openxmlformats.org/officeDocument/2006/relationships/queryTable" Target="../queryTables/queryTable53.xml"/><Relationship Id="rId28" Type="http://schemas.openxmlformats.org/officeDocument/2006/relationships/queryTable" Target="../queryTables/queryTable58.xml"/><Relationship Id="rId36" Type="http://schemas.openxmlformats.org/officeDocument/2006/relationships/queryTable" Target="../queryTables/queryTable66.xml"/><Relationship Id="rId10" Type="http://schemas.openxmlformats.org/officeDocument/2006/relationships/queryTable" Target="../queryTables/queryTable40.xml"/><Relationship Id="rId19" Type="http://schemas.openxmlformats.org/officeDocument/2006/relationships/queryTable" Target="../queryTables/queryTable49.xml"/><Relationship Id="rId31" Type="http://schemas.openxmlformats.org/officeDocument/2006/relationships/queryTable" Target="../queryTables/queryTable61.xml"/><Relationship Id="rId44" Type="http://schemas.openxmlformats.org/officeDocument/2006/relationships/queryTable" Target="../queryTables/queryTable74.xml"/><Relationship Id="rId4" Type="http://schemas.openxmlformats.org/officeDocument/2006/relationships/control" Target="../activeX/activeX3.xml"/><Relationship Id="rId9" Type="http://schemas.openxmlformats.org/officeDocument/2006/relationships/queryTable" Target="../queryTables/queryTable39.xml"/><Relationship Id="rId14" Type="http://schemas.openxmlformats.org/officeDocument/2006/relationships/queryTable" Target="../queryTables/queryTable44.xml"/><Relationship Id="rId22" Type="http://schemas.openxmlformats.org/officeDocument/2006/relationships/queryTable" Target="../queryTables/queryTable52.xml"/><Relationship Id="rId27" Type="http://schemas.openxmlformats.org/officeDocument/2006/relationships/queryTable" Target="../queryTables/queryTable57.xml"/><Relationship Id="rId30" Type="http://schemas.openxmlformats.org/officeDocument/2006/relationships/queryTable" Target="../queryTables/queryTable60.xml"/><Relationship Id="rId35" Type="http://schemas.openxmlformats.org/officeDocument/2006/relationships/queryTable" Target="../queryTables/queryTable65.xml"/><Relationship Id="rId43" Type="http://schemas.openxmlformats.org/officeDocument/2006/relationships/queryTable" Target="../queryTables/queryTable7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J10"/>
  <sheetViews>
    <sheetView workbookViewId="0">
      <selection activeCell="E12" sqref="E12"/>
    </sheetView>
  </sheetViews>
  <sheetFormatPr baseColWidth="10" defaultColWidth="11.5546875" defaultRowHeight="14.65" x14ac:dyDescent="0.3"/>
  <cols>
    <col min="1" max="16384" width="11.5546875" style="1"/>
  </cols>
  <sheetData>
    <row r="1" spans="1:10" ht="28.7" x14ac:dyDescent="0.5">
      <c r="A1" s="18" t="s">
        <v>34</v>
      </c>
    </row>
    <row r="2" spans="1:10" ht="127.15" customHeight="1" x14ac:dyDescent="0.3"/>
    <row r="3" spans="1:10" x14ac:dyDescent="0.3">
      <c r="A3" s="2" t="s">
        <v>698</v>
      </c>
    </row>
    <row r="5" spans="1:10" x14ac:dyDescent="0.3">
      <c r="A5" s="17" t="s">
        <v>5</v>
      </c>
      <c r="B5" s="31" t="s">
        <v>699</v>
      </c>
    </row>
    <row r="6" spans="1:10" x14ac:dyDescent="0.3">
      <c r="A6" s="17" t="s">
        <v>6</v>
      </c>
      <c r="B6" s="28" t="s">
        <v>699</v>
      </c>
    </row>
    <row r="7" spans="1:10" ht="41.45" customHeight="1" x14ac:dyDescent="0.3"/>
    <row r="9" spans="1:10" s="20" customFormat="1" x14ac:dyDescent="0.3">
      <c r="A9" s="19" t="s">
        <v>701</v>
      </c>
    </row>
    <row r="10" spans="1:10" s="20" customFormat="1" x14ac:dyDescent="0.3">
      <c r="A10" s="20" t="s">
        <v>7</v>
      </c>
      <c r="B10" s="29" t="s">
        <v>700</v>
      </c>
      <c r="C10" s="29"/>
      <c r="D10" s="29"/>
      <c r="E10" s="29"/>
      <c r="F10" s="29"/>
      <c r="G10" s="29"/>
      <c r="H10" s="29"/>
      <c r="I10" s="29"/>
      <c r="J10" s="29"/>
    </row>
  </sheetData>
  <hyperlinks>
    <hyperlink ref="B5" r:id="rId1" display="gaem.st@orange.fr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074" r:id="rId5" name="CommandButtonToken">
          <controlPr defaultSize="0" autoLine="0" r:id="rId6">
            <anchor moveWithCells="1">
              <from>
                <xdr:col>0</xdr:col>
                <xdr:colOff>0</xdr:colOff>
                <xdr:row>6</xdr:row>
                <xdr:rowOff>64736</xdr:rowOff>
              </from>
              <to>
                <xdr:col>2</xdr:col>
                <xdr:colOff>752559</xdr:colOff>
                <xdr:row>7</xdr:row>
                <xdr:rowOff>56644</xdr:rowOff>
              </to>
            </anchor>
          </controlPr>
        </control>
      </mc:Choice>
      <mc:Fallback>
        <control shapeId="3074" r:id="rId5" name="CommandButtonToke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/>
  <dimension ref="A1:BL698"/>
  <sheetViews>
    <sheetView workbookViewId="0"/>
  </sheetViews>
  <sheetFormatPr baseColWidth="10" defaultRowHeight="14.65" x14ac:dyDescent="0.3"/>
  <cols>
    <col min="1" max="2" width="24.44140625" bestFit="1" customWidth="1"/>
    <col min="3" max="3" width="11.109375" customWidth="1"/>
    <col min="4" max="4" width="20.5546875" customWidth="1"/>
    <col min="5" max="5" width="10.6640625" customWidth="1"/>
    <col min="6" max="6" width="79.5546875" customWidth="1"/>
    <col min="7" max="7" width="10.6640625" customWidth="1"/>
    <col min="8" max="8" width="7.33203125" customWidth="1"/>
    <col min="9" max="9" width="37.5546875" customWidth="1"/>
  </cols>
  <sheetData>
    <row r="1" spans="1:64" ht="20.9" customHeight="1" x14ac:dyDescent="0.35">
      <c r="A1" s="8" t="s">
        <v>0</v>
      </c>
      <c r="B1" s="8" t="e">
        <f>#REF!</f>
        <v>#REF!</v>
      </c>
      <c r="E1" s="32" t="s">
        <v>199</v>
      </c>
      <c r="F1" s="33" t="e">
        <f>CONCATENATE("https://api.wit-datacenter.com/",B1,"/Data")</f>
        <v>#REF!</v>
      </c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</row>
    <row r="2" spans="1:64" ht="18.5" x14ac:dyDescent="0.35">
      <c r="A2" s="8"/>
      <c r="B2" s="9"/>
      <c r="E2" s="32"/>
      <c r="F2" s="34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</row>
    <row r="3" spans="1:64" s="2" customFormat="1" ht="15.3" thickBot="1" x14ac:dyDescent="0.35">
      <c r="A3" s="3" t="s">
        <v>13</v>
      </c>
      <c r="B3" s="3" t="s">
        <v>12</v>
      </c>
      <c r="C3" s="3" t="s">
        <v>1</v>
      </c>
      <c r="D3" s="3" t="s">
        <v>14</v>
      </c>
      <c r="E3" s="3" t="s">
        <v>15</v>
      </c>
      <c r="F3" s="3" t="s">
        <v>16</v>
      </c>
      <c r="G3" s="3" t="s">
        <v>2</v>
      </c>
      <c r="H3" s="3" t="s">
        <v>3</v>
      </c>
      <c r="I3" s="3" t="s">
        <v>4</v>
      </c>
      <c r="J3" s="3" t="s">
        <v>8</v>
      </c>
      <c r="K3" s="3" t="s">
        <v>9</v>
      </c>
      <c r="L3" s="3" t="s">
        <v>1</v>
      </c>
      <c r="M3" s="3" t="s">
        <v>10</v>
      </c>
      <c r="N3" s="3" t="s">
        <v>11</v>
      </c>
      <c r="O3" s="3" t="s">
        <v>12</v>
      </c>
      <c r="P3" s="3" t="s">
        <v>13</v>
      </c>
      <c r="Q3" s="3" t="s">
        <v>2</v>
      </c>
      <c r="R3" s="3" t="s">
        <v>3</v>
      </c>
      <c r="S3" s="3" t="s">
        <v>4</v>
      </c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</row>
    <row r="4" spans="1:64" s="1" customFormat="1" x14ac:dyDescent="0.3">
      <c r="A4" s="4"/>
      <c r="B4" s="4"/>
      <c r="C4" s="4"/>
      <c r="D4" s="4" t="s">
        <v>200</v>
      </c>
      <c r="E4" s="4">
        <v>165</v>
      </c>
      <c r="F4" s="4" t="s">
        <v>201</v>
      </c>
      <c r="G4" s="4">
        <v>8773</v>
      </c>
      <c r="H4" s="4"/>
      <c r="I4" s="4" t="s">
        <v>202</v>
      </c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</row>
    <row r="5" spans="1:64" s="1" customFormat="1" x14ac:dyDescent="0.3">
      <c r="A5" s="5"/>
      <c r="B5" s="5"/>
      <c r="C5" s="5"/>
      <c r="D5" s="5" t="s">
        <v>203</v>
      </c>
      <c r="E5" s="5">
        <v>165</v>
      </c>
      <c r="F5" s="5" t="s">
        <v>204</v>
      </c>
      <c r="G5" s="5">
        <v>8774</v>
      </c>
      <c r="H5" s="5"/>
      <c r="I5" s="5" t="s">
        <v>205</v>
      </c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</row>
    <row r="6" spans="1:64" s="1" customFormat="1" x14ac:dyDescent="0.3">
      <c r="A6" s="4"/>
      <c r="B6" s="4"/>
      <c r="C6" s="4"/>
      <c r="D6" s="4" t="s">
        <v>206</v>
      </c>
      <c r="E6" s="4">
        <v>165</v>
      </c>
      <c r="F6" s="4" t="s">
        <v>207</v>
      </c>
      <c r="G6" s="4">
        <v>8775</v>
      </c>
      <c r="H6" s="4"/>
      <c r="I6" s="4" t="s">
        <v>208</v>
      </c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</row>
    <row r="7" spans="1:64" s="1" customFormat="1" x14ac:dyDescent="0.3">
      <c r="A7" s="5"/>
      <c r="B7" s="5"/>
      <c r="C7" s="5"/>
      <c r="D7" s="5" t="s">
        <v>209</v>
      </c>
      <c r="E7" s="5">
        <v>165</v>
      </c>
      <c r="F7" s="5" t="s">
        <v>210</v>
      </c>
      <c r="G7" s="5">
        <v>8776</v>
      </c>
      <c r="H7" s="5"/>
      <c r="I7" s="5" t="s">
        <v>211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</row>
    <row r="8" spans="1:64" s="1" customFormat="1" x14ac:dyDescent="0.3">
      <c r="A8" s="4"/>
      <c r="B8" s="4"/>
      <c r="C8" s="4"/>
      <c r="D8" s="4" t="s">
        <v>212</v>
      </c>
      <c r="E8" s="4">
        <v>165</v>
      </c>
      <c r="F8" s="4" t="s">
        <v>213</v>
      </c>
      <c r="G8" s="4">
        <v>8777</v>
      </c>
      <c r="H8" s="4"/>
      <c r="I8" s="4" t="s">
        <v>214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</row>
    <row r="9" spans="1:64" s="1" customFormat="1" x14ac:dyDescent="0.3">
      <c r="A9" s="5"/>
      <c r="B9" s="5"/>
      <c r="C9" s="5"/>
      <c r="D9" s="5" t="s">
        <v>215</v>
      </c>
      <c r="E9" s="5">
        <v>165</v>
      </c>
      <c r="F9" s="5" t="s">
        <v>216</v>
      </c>
      <c r="G9" s="5">
        <v>8778</v>
      </c>
      <c r="H9" s="5"/>
      <c r="I9" s="5" t="s">
        <v>217</v>
      </c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</row>
    <row r="10" spans="1:64" s="1" customFormat="1" x14ac:dyDescent="0.3">
      <c r="A10" s="4"/>
      <c r="B10" s="4"/>
      <c r="C10" s="4"/>
      <c r="D10" s="4" t="s">
        <v>218</v>
      </c>
      <c r="E10" s="4">
        <v>165</v>
      </c>
      <c r="F10" s="4" t="s">
        <v>219</v>
      </c>
      <c r="G10" s="4">
        <v>8779</v>
      </c>
      <c r="H10" s="4"/>
      <c r="I10" s="4" t="s">
        <v>220</v>
      </c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</row>
    <row r="11" spans="1:64" s="1" customFormat="1" x14ac:dyDescent="0.3">
      <c r="A11" s="5"/>
      <c r="B11" s="5"/>
      <c r="C11" s="5"/>
      <c r="D11" s="5" t="s">
        <v>221</v>
      </c>
      <c r="E11" s="5">
        <v>165</v>
      </c>
      <c r="F11" s="5" t="s">
        <v>222</v>
      </c>
      <c r="G11" s="5">
        <v>8780</v>
      </c>
      <c r="H11" s="5"/>
      <c r="I11" s="5" t="s">
        <v>223</v>
      </c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</row>
    <row r="12" spans="1:64" s="1" customFormat="1" x14ac:dyDescent="0.3">
      <c r="A12" s="4"/>
      <c r="B12" s="4"/>
      <c r="C12" s="4"/>
      <c r="D12" s="4" t="s">
        <v>224</v>
      </c>
      <c r="E12" s="4">
        <v>165</v>
      </c>
      <c r="F12" s="4" t="s">
        <v>225</v>
      </c>
      <c r="G12" s="4">
        <v>8781</v>
      </c>
      <c r="H12" s="4"/>
      <c r="I12" s="4" t="s">
        <v>226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</row>
    <row r="13" spans="1:64" s="1" customFormat="1" x14ac:dyDescent="0.3">
      <c r="A13" s="5"/>
      <c r="B13" s="5"/>
      <c r="C13" s="5"/>
      <c r="D13" s="5" t="s">
        <v>227</v>
      </c>
      <c r="E13" s="5">
        <v>165</v>
      </c>
      <c r="F13" s="5" t="s">
        <v>201</v>
      </c>
      <c r="G13" s="5">
        <v>8782</v>
      </c>
      <c r="H13" s="5"/>
      <c r="I13" s="5" t="s">
        <v>228</v>
      </c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</row>
    <row r="14" spans="1:64" s="1" customFormat="1" x14ac:dyDescent="0.3">
      <c r="A14" s="4"/>
      <c r="B14" s="4"/>
      <c r="C14" s="4"/>
      <c r="D14" s="4" t="s">
        <v>229</v>
      </c>
      <c r="E14" s="4">
        <v>165</v>
      </c>
      <c r="F14" s="4" t="s">
        <v>204</v>
      </c>
      <c r="G14" s="4">
        <v>8783</v>
      </c>
      <c r="H14" s="4"/>
      <c r="I14" s="4" t="s">
        <v>230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</row>
    <row r="15" spans="1:64" s="1" customFormat="1" x14ac:dyDescent="0.3">
      <c r="A15" s="5"/>
      <c r="B15" s="5"/>
      <c r="C15" s="5"/>
      <c r="D15" s="5" t="s">
        <v>231</v>
      </c>
      <c r="E15" s="6">
        <v>165</v>
      </c>
      <c r="F15" s="6" t="s">
        <v>207</v>
      </c>
      <c r="G15" s="6">
        <v>8784</v>
      </c>
      <c r="H15" s="5"/>
      <c r="I15" s="5" t="s">
        <v>232</v>
      </c>
      <c r="J15" s="5"/>
      <c r="K15" s="5"/>
      <c r="L15" s="5"/>
      <c r="M15" s="5"/>
      <c r="N15" s="5"/>
      <c r="O15" s="6"/>
      <c r="P15" s="6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</row>
    <row r="16" spans="1:64" s="1" customFormat="1" x14ac:dyDescent="0.3">
      <c r="A16" s="4"/>
      <c r="B16" s="4"/>
      <c r="C16" s="4"/>
      <c r="D16" s="4" t="s">
        <v>233</v>
      </c>
      <c r="E16" s="4">
        <v>165</v>
      </c>
      <c r="F16" s="4" t="s">
        <v>210</v>
      </c>
      <c r="G16" s="4">
        <v>8785</v>
      </c>
      <c r="H16" s="4"/>
      <c r="I16" s="4" t="s">
        <v>234</v>
      </c>
      <c r="J16" s="4"/>
      <c r="K16" s="4"/>
      <c r="L16" s="4"/>
      <c r="M16" s="4"/>
      <c r="N16" s="4"/>
      <c r="O16" s="4"/>
      <c r="P16" s="7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</row>
    <row r="17" spans="1:64" s="1" customFormat="1" x14ac:dyDescent="0.3">
      <c r="A17" s="5"/>
      <c r="B17" s="5"/>
      <c r="C17" s="5"/>
      <c r="D17" s="5" t="s">
        <v>235</v>
      </c>
      <c r="E17" s="5">
        <v>165</v>
      </c>
      <c r="F17" s="5" t="s">
        <v>213</v>
      </c>
      <c r="G17" s="5">
        <v>8786</v>
      </c>
      <c r="H17" s="5"/>
      <c r="I17" s="5" t="s">
        <v>236</v>
      </c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</row>
    <row r="18" spans="1:64" s="1" customFormat="1" x14ac:dyDescent="0.3">
      <c r="A18" s="4"/>
      <c r="B18" s="4"/>
      <c r="C18" s="4"/>
      <c r="D18" s="4" t="s">
        <v>237</v>
      </c>
      <c r="E18" s="4">
        <v>165</v>
      </c>
      <c r="F18" s="4" t="s">
        <v>216</v>
      </c>
      <c r="G18" s="4">
        <v>8787</v>
      </c>
      <c r="H18" s="4"/>
      <c r="I18" s="4" t="s">
        <v>238</v>
      </c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</row>
    <row r="19" spans="1:64" s="1" customFormat="1" x14ac:dyDescent="0.3">
      <c r="A19" s="5"/>
      <c r="B19" s="5"/>
      <c r="C19" s="5"/>
      <c r="D19" s="5" t="s">
        <v>239</v>
      </c>
      <c r="E19" s="5">
        <v>165</v>
      </c>
      <c r="F19" s="5" t="s">
        <v>219</v>
      </c>
      <c r="G19" s="5">
        <v>8788</v>
      </c>
      <c r="H19" s="5"/>
      <c r="I19" s="5" t="s">
        <v>240</v>
      </c>
      <c r="J19" s="5"/>
      <c r="K19" s="5"/>
      <c r="L19" s="5"/>
      <c r="M19" s="5"/>
      <c r="N19" s="5"/>
      <c r="O19" s="6"/>
      <c r="P19" s="6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</row>
    <row r="20" spans="1:64" s="1" customFormat="1" x14ac:dyDescent="0.3">
      <c r="A20" s="4"/>
      <c r="B20" s="4"/>
      <c r="C20" s="4"/>
      <c r="D20" s="4" t="s">
        <v>241</v>
      </c>
      <c r="E20" s="4">
        <v>165</v>
      </c>
      <c r="F20" s="4" t="s">
        <v>222</v>
      </c>
      <c r="G20" s="4">
        <v>8789</v>
      </c>
      <c r="H20" s="4"/>
      <c r="I20" s="4" t="s">
        <v>242</v>
      </c>
      <c r="J20" s="4"/>
      <c r="K20" s="4"/>
      <c r="L20" s="4"/>
      <c r="M20" s="4"/>
      <c r="N20" s="4"/>
      <c r="O20" s="7"/>
      <c r="P20" s="7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</row>
    <row r="21" spans="1:64" s="1" customFormat="1" x14ac:dyDescent="0.3">
      <c r="A21" s="5"/>
      <c r="B21" s="5"/>
      <c r="C21" s="5"/>
      <c r="D21" s="5" t="s">
        <v>243</v>
      </c>
      <c r="E21" s="5">
        <v>165</v>
      </c>
      <c r="F21" s="5" t="s">
        <v>225</v>
      </c>
      <c r="G21" s="5">
        <v>8790</v>
      </c>
      <c r="H21" s="5"/>
      <c r="I21" s="5" t="s">
        <v>244</v>
      </c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</row>
    <row r="22" spans="1:64" s="1" customFormat="1" x14ac:dyDescent="0.3">
      <c r="A22" s="4"/>
      <c r="B22" s="4"/>
      <c r="C22" s="4"/>
      <c r="D22" s="4" t="s">
        <v>245</v>
      </c>
      <c r="E22" s="4">
        <v>165</v>
      </c>
      <c r="F22" s="4" t="s">
        <v>201</v>
      </c>
      <c r="G22" s="4">
        <v>8791</v>
      </c>
      <c r="H22" s="4"/>
      <c r="I22" s="4" t="s">
        <v>246</v>
      </c>
      <c r="J22" s="4"/>
      <c r="K22" s="4"/>
      <c r="L22" s="4"/>
      <c r="M22" s="4"/>
      <c r="N22" s="4"/>
      <c r="O22" s="4"/>
      <c r="P22" s="7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</row>
    <row r="23" spans="1:64" s="1" customFormat="1" x14ac:dyDescent="0.3">
      <c r="A23" s="5"/>
      <c r="B23" s="5"/>
      <c r="C23" s="5"/>
      <c r="D23" s="5" t="s">
        <v>247</v>
      </c>
      <c r="E23" s="5">
        <v>165</v>
      </c>
      <c r="F23" s="5" t="s">
        <v>204</v>
      </c>
      <c r="G23" s="5">
        <v>8792</v>
      </c>
      <c r="H23" s="5"/>
      <c r="I23" s="5" t="s">
        <v>248</v>
      </c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</row>
    <row r="24" spans="1:64" s="1" customFormat="1" x14ac:dyDescent="0.3">
      <c r="A24" s="4"/>
      <c r="B24" s="4"/>
      <c r="C24" s="4"/>
      <c r="D24" s="4" t="s">
        <v>249</v>
      </c>
      <c r="E24" s="4">
        <v>165</v>
      </c>
      <c r="F24" s="4" t="s">
        <v>207</v>
      </c>
      <c r="G24" s="4">
        <v>8793</v>
      </c>
      <c r="H24" s="4"/>
      <c r="I24" s="4" t="s">
        <v>250</v>
      </c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</row>
    <row r="25" spans="1:64" s="1" customFormat="1" x14ac:dyDescent="0.3">
      <c r="A25" s="5"/>
      <c r="B25" s="5"/>
      <c r="C25" s="5"/>
      <c r="D25" s="5" t="s">
        <v>251</v>
      </c>
      <c r="E25" s="5">
        <v>165</v>
      </c>
      <c r="F25" s="5" t="s">
        <v>210</v>
      </c>
      <c r="G25" s="5">
        <v>8794</v>
      </c>
      <c r="H25" s="5"/>
      <c r="I25" s="5" t="s">
        <v>252</v>
      </c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</row>
    <row r="26" spans="1:64" s="1" customFormat="1" x14ac:dyDescent="0.3">
      <c r="A26" s="4"/>
      <c r="B26" s="4"/>
      <c r="C26" s="4"/>
      <c r="D26" s="4" t="s">
        <v>253</v>
      </c>
      <c r="E26" s="4">
        <v>165</v>
      </c>
      <c r="F26" s="4" t="s">
        <v>213</v>
      </c>
      <c r="G26" s="4">
        <v>8795</v>
      </c>
      <c r="H26" s="4"/>
      <c r="I26" s="4" t="s">
        <v>254</v>
      </c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</row>
    <row r="27" spans="1:64" s="1" customFormat="1" x14ac:dyDescent="0.3">
      <c r="A27" s="5"/>
      <c r="B27" s="5"/>
      <c r="C27" s="5"/>
      <c r="D27" s="5" t="s">
        <v>255</v>
      </c>
      <c r="E27" s="5">
        <v>165</v>
      </c>
      <c r="F27" s="5" t="s">
        <v>216</v>
      </c>
      <c r="G27" s="5">
        <v>8796</v>
      </c>
      <c r="H27" s="5"/>
      <c r="I27" s="5" t="s">
        <v>256</v>
      </c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</row>
    <row r="28" spans="1:64" s="1" customFormat="1" x14ac:dyDescent="0.3">
      <c r="A28" s="4"/>
      <c r="B28" s="4"/>
      <c r="C28" s="4"/>
      <c r="D28" s="4" t="s">
        <v>257</v>
      </c>
      <c r="E28" s="4">
        <v>165</v>
      </c>
      <c r="F28" s="4" t="s">
        <v>219</v>
      </c>
      <c r="G28" s="4">
        <v>8797</v>
      </c>
      <c r="H28" s="4"/>
      <c r="I28" s="4" t="s">
        <v>258</v>
      </c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</row>
    <row r="29" spans="1:64" s="1" customFormat="1" x14ac:dyDescent="0.3">
      <c r="A29" s="5"/>
      <c r="B29" s="5"/>
      <c r="C29" s="5"/>
      <c r="D29" s="5" t="s">
        <v>259</v>
      </c>
      <c r="E29" s="5">
        <v>165</v>
      </c>
      <c r="F29" s="5" t="s">
        <v>222</v>
      </c>
      <c r="G29" s="5">
        <v>8798</v>
      </c>
      <c r="H29" s="5"/>
      <c r="I29" s="5" t="s">
        <v>260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</row>
    <row r="30" spans="1:64" s="1" customFormat="1" x14ac:dyDescent="0.3">
      <c r="A30" s="4"/>
      <c r="B30" s="4"/>
      <c r="C30" s="4"/>
      <c r="D30" s="4" t="s">
        <v>261</v>
      </c>
      <c r="E30" s="4">
        <v>165</v>
      </c>
      <c r="F30" s="4" t="s">
        <v>225</v>
      </c>
      <c r="G30" s="4">
        <v>8799</v>
      </c>
      <c r="H30" s="4"/>
      <c r="I30" s="4" t="s">
        <v>262</v>
      </c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</row>
    <row r="31" spans="1:64" s="1" customFormat="1" x14ac:dyDescent="0.3">
      <c r="A31" s="5"/>
      <c r="B31" s="5"/>
      <c r="C31" s="5"/>
      <c r="D31" s="5" t="s">
        <v>263</v>
      </c>
      <c r="E31" s="5">
        <v>165</v>
      </c>
      <c r="F31" s="5" t="s">
        <v>201</v>
      </c>
      <c r="G31" s="5">
        <v>8800</v>
      </c>
      <c r="H31" s="5"/>
      <c r="I31" s="5" t="s">
        <v>264</v>
      </c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</row>
    <row r="32" spans="1:64" s="1" customFormat="1" x14ac:dyDescent="0.3">
      <c r="A32" s="4"/>
      <c r="B32" s="4"/>
      <c r="C32" s="4"/>
      <c r="D32" s="4" t="s">
        <v>265</v>
      </c>
      <c r="E32" s="4">
        <v>165</v>
      </c>
      <c r="F32" s="4" t="s">
        <v>204</v>
      </c>
      <c r="G32" s="4">
        <v>8801</v>
      </c>
      <c r="H32" s="4"/>
      <c r="I32" s="4" t="s">
        <v>266</v>
      </c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</row>
    <row r="33" spans="1:64" s="1" customFormat="1" x14ac:dyDescent="0.3">
      <c r="A33" s="5"/>
      <c r="B33" s="5"/>
      <c r="C33" s="5"/>
      <c r="D33" s="5" t="s">
        <v>267</v>
      </c>
      <c r="E33" s="5">
        <v>165</v>
      </c>
      <c r="F33" s="5" t="s">
        <v>207</v>
      </c>
      <c r="G33" s="5">
        <v>8802</v>
      </c>
      <c r="H33" s="5"/>
      <c r="I33" s="5" t="s">
        <v>268</v>
      </c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</row>
    <row r="34" spans="1:64" s="1" customFormat="1" x14ac:dyDescent="0.3">
      <c r="A34" s="4"/>
      <c r="B34" s="4"/>
      <c r="C34" s="4"/>
      <c r="D34" s="4" t="s">
        <v>269</v>
      </c>
      <c r="E34" s="4">
        <v>165</v>
      </c>
      <c r="F34" s="4" t="s">
        <v>210</v>
      </c>
      <c r="G34" s="4">
        <v>8803</v>
      </c>
      <c r="H34" s="4"/>
      <c r="I34" s="4" t="s">
        <v>270</v>
      </c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</row>
    <row r="35" spans="1:64" s="1" customFormat="1" x14ac:dyDescent="0.3">
      <c r="A35" s="5"/>
      <c r="B35" s="5"/>
      <c r="C35" s="5"/>
      <c r="D35" s="5" t="s">
        <v>271</v>
      </c>
      <c r="E35" s="5">
        <v>165</v>
      </c>
      <c r="F35" s="5" t="s">
        <v>213</v>
      </c>
      <c r="G35" s="5">
        <v>8804</v>
      </c>
      <c r="H35" s="5"/>
      <c r="I35" s="5" t="s">
        <v>272</v>
      </c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</row>
    <row r="36" spans="1:64" s="1" customFormat="1" x14ac:dyDescent="0.3">
      <c r="A36" s="4"/>
      <c r="B36" s="4"/>
      <c r="C36" s="4"/>
      <c r="D36" s="4" t="s">
        <v>273</v>
      </c>
      <c r="E36" s="4">
        <v>165</v>
      </c>
      <c r="F36" s="4" t="s">
        <v>216</v>
      </c>
      <c r="G36" s="4">
        <v>8805</v>
      </c>
      <c r="H36" s="4"/>
      <c r="I36" s="4" t="s">
        <v>274</v>
      </c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</row>
    <row r="37" spans="1:64" s="1" customFormat="1" x14ac:dyDescent="0.3">
      <c r="A37" s="5"/>
      <c r="B37" s="5"/>
      <c r="C37" s="5"/>
      <c r="D37" s="5" t="s">
        <v>275</v>
      </c>
      <c r="E37" s="6">
        <v>165</v>
      </c>
      <c r="F37" s="6" t="s">
        <v>219</v>
      </c>
      <c r="G37" s="6">
        <v>8806</v>
      </c>
      <c r="H37" s="5"/>
      <c r="I37" s="5" t="s">
        <v>276</v>
      </c>
      <c r="J37" s="5"/>
      <c r="K37" s="5"/>
      <c r="L37" s="5"/>
      <c r="M37" s="5"/>
      <c r="N37" s="5"/>
      <c r="O37" s="6"/>
      <c r="P37" s="6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</row>
    <row r="38" spans="1:64" s="1" customFormat="1" x14ac:dyDescent="0.3">
      <c r="A38" s="4"/>
      <c r="B38" s="4"/>
      <c r="C38" s="4"/>
      <c r="D38" s="4" t="s">
        <v>277</v>
      </c>
      <c r="E38" s="4">
        <v>165</v>
      </c>
      <c r="F38" s="4" t="s">
        <v>278</v>
      </c>
      <c r="G38" s="4">
        <v>8807</v>
      </c>
      <c r="H38" s="4"/>
      <c r="I38" s="4" t="s">
        <v>279</v>
      </c>
      <c r="J38" s="4"/>
      <c r="K38" s="4"/>
      <c r="L38" s="4"/>
      <c r="M38" s="4"/>
      <c r="N38" s="4"/>
      <c r="O38" s="4"/>
      <c r="P38" s="7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</row>
    <row r="39" spans="1:64" s="1" customFormat="1" x14ac:dyDescent="0.3">
      <c r="A39" s="5"/>
      <c r="B39" s="5"/>
      <c r="C39" s="5"/>
      <c r="D39" s="5" t="s">
        <v>200</v>
      </c>
      <c r="E39" s="5">
        <v>164</v>
      </c>
      <c r="F39" s="5" t="s">
        <v>201</v>
      </c>
      <c r="G39" s="5">
        <v>8735</v>
      </c>
      <c r="H39" s="5"/>
      <c r="I39" s="5" t="s">
        <v>202</v>
      </c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</row>
    <row r="40" spans="1:64" s="1" customFormat="1" x14ac:dyDescent="0.3">
      <c r="A40" s="4"/>
      <c r="B40" s="4"/>
      <c r="C40" s="4"/>
      <c r="D40" s="4" t="s">
        <v>203</v>
      </c>
      <c r="E40" s="7">
        <v>164</v>
      </c>
      <c r="F40" s="7" t="s">
        <v>204</v>
      </c>
      <c r="G40" s="7">
        <v>8736</v>
      </c>
      <c r="H40" s="4"/>
      <c r="I40" s="4" t="s">
        <v>205</v>
      </c>
      <c r="J40" s="4"/>
      <c r="K40" s="4"/>
      <c r="L40" s="4"/>
      <c r="M40" s="4"/>
      <c r="N40" s="4"/>
      <c r="O40" s="7"/>
      <c r="P40" s="7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</row>
    <row r="41" spans="1:64" s="1" customFormat="1" x14ac:dyDescent="0.3">
      <c r="A41" s="5"/>
      <c r="B41" s="5"/>
      <c r="C41" s="5"/>
      <c r="D41" s="5" t="s">
        <v>206</v>
      </c>
      <c r="E41" s="5">
        <v>164</v>
      </c>
      <c r="F41" s="5" t="s">
        <v>207</v>
      </c>
      <c r="G41" s="5">
        <v>8737</v>
      </c>
      <c r="H41" s="5"/>
      <c r="I41" s="5" t="s">
        <v>208</v>
      </c>
      <c r="J41" s="5"/>
      <c r="K41" s="5"/>
      <c r="L41" s="5"/>
      <c r="M41" s="5"/>
      <c r="N41" s="5"/>
      <c r="O41" s="6"/>
      <c r="P41" s="6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</row>
    <row r="42" spans="1:64" s="1" customFormat="1" x14ac:dyDescent="0.3">
      <c r="A42" s="4"/>
      <c r="B42" s="4"/>
      <c r="C42" s="4"/>
      <c r="D42" s="4" t="s">
        <v>209</v>
      </c>
      <c r="E42" s="4">
        <v>164</v>
      </c>
      <c r="F42" s="4" t="s">
        <v>210</v>
      </c>
      <c r="G42" s="4">
        <v>8738</v>
      </c>
      <c r="H42" s="4"/>
      <c r="I42" s="4" t="s">
        <v>211</v>
      </c>
      <c r="J42" s="4"/>
      <c r="K42" s="4"/>
      <c r="L42" s="4"/>
      <c r="M42" s="4"/>
      <c r="N42" s="4"/>
      <c r="O42" s="7"/>
      <c r="P42" s="7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</row>
    <row r="43" spans="1:64" x14ac:dyDescent="0.3">
      <c r="D43" t="s">
        <v>212</v>
      </c>
      <c r="E43">
        <v>164</v>
      </c>
      <c r="F43" t="s">
        <v>213</v>
      </c>
      <c r="G43">
        <v>8739</v>
      </c>
      <c r="I43" t="s">
        <v>214</v>
      </c>
    </row>
    <row r="44" spans="1:64" x14ac:dyDescent="0.3">
      <c r="D44" t="s">
        <v>215</v>
      </c>
      <c r="E44">
        <v>164</v>
      </c>
      <c r="F44" t="s">
        <v>216</v>
      </c>
      <c r="G44">
        <v>8740</v>
      </c>
      <c r="I44" t="s">
        <v>217</v>
      </c>
    </row>
    <row r="45" spans="1:64" x14ac:dyDescent="0.3">
      <c r="D45" t="s">
        <v>218</v>
      </c>
      <c r="E45">
        <v>164</v>
      </c>
      <c r="F45" t="s">
        <v>219</v>
      </c>
      <c r="G45">
        <v>8741</v>
      </c>
      <c r="I45" t="s">
        <v>220</v>
      </c>
    </row>
    <row r="46" spans="1:64" x14ac:dyDescent="0.3">
      <c r="D46" t="s">
        <v>221</v>
      </c>
      <c r="E46">
        <v>164</v>
      </c>
      <c r="F46" t="s">
        <v>222</v>
      </c>
      <c r="G46">
        <v>8742</v>
      </c>
      <c r="I46" t="s">
        <v>223</v>
      </c>
    </row>
    <row r="47" spans="1:64" x14ac:dyDescent="0.3">
      <c r="D47" t="s">
        <v>224</v>
      </c>
      <c r="E47">
        <v>164</v>
      </c>
      <c r="F47" t="s">
        <v>225</v>
      </c>
      <c r="G47">
        <v>8743</v>
      </c>
      <c r="I47" t="s">
        <v>226</v>
      </c>
    </row>
    <row r="48" spans="1:64" x14ac:dyDescent="0.3">
      <c r="D48" t="s">
        <v>227</v>
      </c>
      <c r="E48">
        <v>164</v>
      </c>
      <c r="F48" t="s">
        <v>201</v>
      </c>
      <c r="G48">
        <v>8744</v>
      </c>
      <c r="I48" t="s">
        <v>228</v>
      </c>
    </row>
    <row r="49" spans="4:9" x14ac:dyDescent="0.3">
      <c r="D49" t="s">
        <v>229</v>
      </c>
      <c r="E49">
        <v>164</v>
      </c>
      <c r="F49" t="s">
        <v>204</v>
      </c>
      <c r="G49">
        <v>8745</v>
      </c>
      <c r="I49" t="s">
        <v>230</v>
      </c>
    </row>
    <row r="50" spans="4:9" x14ac:dyDescent="0.3">
      <c r="D50" t="s">
        <v>231</v>
      </c>
      <c r="E50">
        <v>164</v>
      </c>
      <c r="F50" t="s">
        <v>207</v>
      </c>
      <c r="G50">
        <v>8746</v>
      </c>
      <c r="I50" t="s">
        <v>232</v>
      </c>
    </row>
    <row r="51" spans="4:9" x14ac:dyDescent="0.3">
      <c r="D51" t="s">
        <v>233</v>
      </c>
      <c r="E51">
        <v>164</v>
      </c>
      <c r="F51" t="s">
        <v>210</v>
      </c>
      <c r="G51">
        <v>8747</v>
      </c>
      <c r="I51" t="s">
        <v>234</v>
      </c>
    </row>
    <row r="52" spans="4:9" x14ac:dyDescent="0.3">
      <c r="D52" t="s">
        <v>235</v>
      </c>
      <c r="E52">
        <v>164</v>
      </c>
      <c r="F52" t="s">
        <v>213</v>
      </c>
      <c r="G52">
        <v>8748</v>
      </c>
      <c r="I52" t="s">
        <v>236</v>
      </c>
    </row>
    <row r="53" spans="4:9" x14ac:dyDescent="0.3">
      <c r="D53" t="s">
        <v>237</v>
      </c>
      <c r="E53">
        <v>164</v>
      </c>
      <c r="F53" t="s">
        <v>216</v>
      </c>
      <c r="G53">
        <v>8749</v>
      </c>
      <c r="I53" t="s">
        <v>238</v>
      </c>
    </row>
    <row r="54" spans="4:9" x14ac:dyDescent="0.3">
      <c r="D54" t="s">
        <v>239</v>
      </c>
      <c r="E54">
        <v>164</v>
      </c>
      <c r="F54" t="s">
        <v>219</v>
      </c>
      <c r="G54">
        <v>8750</v>
      </c>
      <c r="I54" t="s">
        <v>240</v>
      </c>
    </row>
    <row r="55" spans="4:9" x14ac:dyDescent="0.3">
      <c r="D55" t="s">
        <v>241</v>
      </c>
      <c r="E55">
        <v>164</v>
      </c>
      <c r="F55" t="s">
        <v>222</v>
      </c>
      <c r="G55">
        <v>8751</v>
      </c>
      <c r="I55" t="s">
        <v>242</v>
      </c>
    </row>
    <row r="56" spans="4:9" x14ac:dyDescent="0.3">
      <c r="D56" t="s">
        <v>243</v>
      </c>
      <c r="E56">
        <v>164</v>
      </c>
      <c r="F56" t="s">
        <v>225</v>
      </c>
      <c r="G56">
        <v>8752</v>
      </c>
      <c r="I56" t="s">
        <v>244</v>
      </c>
    </row>
    <row r="57" spans="4:9" x14ac:dyDescent="0.3">
      <c r="D57" t="s">
        <v>245</v>
      </c>
      <c r="E57">
        <v>164</v>
      </c>
      <c r="F57" t="s">
        <v>201</v>
      </c>
      <c r="G57">
        <v>8753</v>
      </c>
      <c r="I57" t="s">
        <v>246</v>
      </c>
    </row>
    <row r="58" spans="4:9" x14ac:dyDescent="0.3">
      <c r="D58" t="s">
        <v>247</v>
      </c>
      <c r="E58">
        <v>164</v>
      </c>
      <c r="F58" t="s">
        <v>204</v>
      </c>
      <c r="G58">
        <v>8754</v>
      </c>
      <c r="I58" t="s">
        <v>248</v>
      </c>
    </row>
    <row r="59" spans="4:9" x14ac:dyDescent="0.3">
      <c r="D59" t="s">
        <v>249</v>
      </c>
      <c r="E59">
        <v>164</v>
      </c>
      <c r="F59" t="s">
        <v>207</v>
      </c>
      <c r="G59">
        <v>8755</v>
      </c>
      <c r="I59" t="s">
        <v>250</v>
      </c>
    </row>
    <row r="60" spans="4:9" x14ac:dyDescent="0.3">
      <c r="D60" t="s">
        <v>251</v>
      </c>
      <c r="E60">
        <v>164</v>
      </c>
      <c r="F60" t="s">
        <v>210</v>
      </c>
      <c r="G60">
        <v>8756</v>
      </c>
      <c r="I60" t="s">
        <v>252</v>
      </c>
    </row>
    <row r="61" spans="4:9" x14ac:dyDescent="0.3">
      <c r="D61" t="s">
        <v>253</v>
      </c>
      <c r="E61">
        <v>164</v>
      </c>
      <c r="F61" t="s">
        <v>213</v>
      </c>
      <c r="G61">
        <v>8757</v>
      </c>
      <c r="I61" t="s">
        <v>254</v>
      </c>
    </row>
    <row r="62" spans="4:9" x14ac:dyDescent="0.3">
      <c r="D62" t="s">
        <v>255</v>
      </c>
      <c r="E62">
        <v>164</v>
      </c>
      <c r="F62" t="s">
        <v>216</v>
      </c>
      <c r="G62">
        <v>8758</v>
      </c>
      <c r="I62" t="s">
        <v>256</v>
      </c>
    </row>
    <row r="63" spans="4:9" x14ac:dyDescent="0.3">
      <c r="D63" t="s">
        <v>257</v>
      </c>
      <c r="E63">
        <v>164</v>
      </c>
      <c r="F63" t="s">
        <v>219</v>
      </c>
      <c r="G63">
        <v>8759</v>
      </c>
      <c r="I63" t="s">
        <v>258</v>
      </c>
    </row>
    <row r="64" spans="4:9" x14ac:dyDescent="0.3">
      <c r="D64" t="s">
        <v>259</v>
      </c>
      <c r="E64">
        <v>164</v>
      </c>
      <c r="F64" t="s">
        <v>222</v>
      </c>
      <c r="G64">
        <v>8760</v>
      </c>
      <c r="I64" t="s">
        <v>260</v>
      </c>
    </row>
    <row r="65" spans="4:9" x14ac:dyDescent="0.3">
      <c r="D65" t="s">
        <v>261</v>
      </c>
      <c r="E65">
        <v>164</v>
      </c>
      <c r="F65" t="s">
        <v>225</v>
      </c>
      <c r="G65">
        <v>8761</v>
      </c>
      <c r="I65" t="s">
        <v>262</v>
      </c>
    </row>
    <row r="66" spans="4:9" x14ac:dyDescent="0.3">
      <c r="D66" t="s">
        <v>263</v>
      </c>
      <c r="E66">
        <v>164</v>
      </c>
      <c r="F66" t="s">
        <v>201</v>
      </c>
      <c r="G66">
        <v>8762</v>
      </c>
      <c r="I66" t="s">
        <v>264</v>
      </c>
    </row>
    <row r="67" spans="4:9" x14ac:dyDescent="0.3">
      <c r="D67" t="s">
        <v>265</v>
      </c>
      <c r="E67">
        <v>164</v>
      </c>
      <c r="F67" t="s">
        <v>204</v>
      </c>
      <c r="G67">
        <v>8763</v>
      </c>
      <c r="I67" t="s">
        <v>266</v>
      </c>
    </row>
    <row r="68" spans="4:9" x14ac:dyDescent="0.3">
      <c r="D68" t="s">
        <v>267</v>
      </c>
      <c r="E68">
        <v>164</v>
      </c>
      <c r="F68" t="s">
        <v>207</v>
      </c>
      <c r="G68">
        <v>8764</v>
      </c>
      <c r="I68" t="s">
        <v>268</v>
      </c>
    </row>
    <row r="69" spans="4:9" x14ac:dyDescent="0.3">
      <c r="D69" t="s">
        <v>269</v>
      </c>
      <c r="E69">
        <v>164</v>
      </c>
      <c r="F69" t="s">
        <v>210</v>
      </c>
      <c r="G69">
        <v>8765</v>
      </c>
      <c r="I69" t="s">
        <v>270</v>
      </c>
    </row>
    <row r="70" spans="4:9" x14ac:dyDescent="0.3">
      <c r="D70" t="s">
        <v>271</v>
      </c>
      <c r="E70">
        <v>164</v>
      </c>
      <c r="F70" t="s">
        <v>213</v>
      </c>
      <c r="G70">
        <v>8766</v>
      </c>
      <c r="I70" t="s">
        <v>272</v>
      </c>
    </row>
    <row r="71" spans="4:9" x14ac:dyDescent="0.3">
      <c r="D71" t="s">
        <v>273</v>
      </c>
      <c r="E71">
        <v>164</v>
      </c>
      <c r="F71" t="s">
        <v>216</v>
      </c>
      <c r="G71">
        <v>8767</v>
      </c>
      <c r="I71" t="s">
        <v>274</v>
      </c>
    </row>
    <row r="72" spans="4:9" x14ac:dyDescent="0.3">
      <c r="D72" t="s">
        <v>275</v>
      </c>
      <c r="E72">
        <v>164</v>
      </c>
      <c r="F72" t="s">
        <v>219</v>
      </c>
      <c r="G72">
        <v>8768</v>
      </c>
      <c r="I72" t="s">
        <v>276</v>
      </c>
    </row>
    <row r="73" spans="4:9" x14ac:dyDescent="0.3">
      <c r="D73" t="s">
        <v>277</v>
      </c>
      <c r="E73">
        <v>164</v>
      </c>
      <c r="F73" t="s">
        <v>278</v>
      </c>
      <c r="G73">
        <v>8769</v>
      </c>
      <c r="I73" t="s">
        <v>279</v>
      </c>
    </row>
    <row r="74" spans="4:9" x14ac:dyDescent="0.3">
      <c r="D74" t="s">
        <v>200</v>
      </c>
      <c r="E74">
        <v>163</v>
      </c>
      <c r="F74" t="s">
        <v>201</v>
      </c>
      <c r="G74">
        <v>8697</v>
      </c>
      <c r="I74" t="s">
        <v>202</v>
      </c>
    </row>
    <row r="75" spans="4:9" x14ac:dyDescent="0.3">
      <c r="D75" t="s">
        <v>203</v>
      </c>
      <c r="E75">
        <v>163</v>
      </c>
      <c r="F75" t="s">
        <v>204</v>
      </c>
      <c r="G75">
        <v>8698</v>
      </c>
      <c r="I75" t="s">
        <v>205</v>
      </c>
    </row>
    <row r="76" spans="4:9" x14ac:dyDescent="0.3">
      <c r="D76" t="s">
        <v>206</v>
      </c>
      <c r="E76">
        <v>163</v>
      </c>
      <c r="F76" t="s">
        <v>207</v>
      </c>
      <c r="G76">
        <v>8699</v>
      </c>
      <c r="I76" t="s">
        <v>208</v>
      </c>
    </row>
    <row r="77" spans="4:9" x14ac:dyDescent="0.3">
      <c r="D77" t="s">
        <v>209</v>
      </c>
      <c r="E77">
        <v>163</v>
      </c>
      <c r="F77" t="s">
        <v>210</v>
      </c>
      <c r="G77">
        <v>8700</v>
      </c>
      <c r="I77" t="s">
        <v>211</v>
      </c>
    </row>
    <row r="78" spans="4:9" x14ac:dyDescent="0.3">
      <c r="D78" t="s">
        <v>212</v>
      </c>
      <c r="E78">
        <v>163</v>
      </c>
      <c r="F78" t="s">
        <v>213</v>
      </c>
      <c r="G78">
        <v>8701</v>
      </c>
      <c r="I78" t="s">
        <v>214</v>
      </c>
    </row>
    <row r="79" spans="4:9" x14ac:dyDescent="0.3">
      <c r="D79" t="s">
        <v>215</v>
      </c>
      <c r="E79">
        <v>163</v>
      </c>
      <c r="F79" t="s">
        <v>216</v>
      </c>
      <c r="G79">
        <v>8702</v>
      </c>
      <c r="I79" t="s">
        <v>217</v>
      </c>
    </row>
    <row r="80" spans="4:9" x14ac:dyDescent="0.3">
      <c r="D80" t="s">
        <v>218</v>
      </c>
      <c r="E80">
        <v>163</v>
      </c>
      <c r="F80" t="s">
        <v>219</v>
      </c>
      <c r="G80">
        <v>8703</v>
      </c>
      <c r="I80" t="s">
        <v>220</v>
      </c>
    </row>
    <row r="81" spans="4:9" x14ac:dyDescent="0.3">
      <c r="D81" t="s">
        <v>221</v>
      </c>
      <c r="E81">
        <v>163</v>
      </c>
      <c r="F81" t="s">
        <v>222</v>
      </c>
      <c r="G81">
        <v>8704</v>
      </c>
      <c r="I81" t="s">
        <v>223</v>
      </c>
    </row>
    <row r="82" spans="4:9" x14ac:dyDescent="0.3">
      <c r="D82" t="s">
        <v>224</v>
      </c>
      <c r="E82">
        <v>163</v>
      </c>
      <c r="F82" t="s">
        <v>225</v>
      </c>
      <c r="G82">
        <v>8705</v>
      </c>
      <c r="I82" t="s">
        <v>226</v>
      </c>
    </row>
    <row r="83" spans="4:9" x14ac:dyDescent="0.3">
      <c r="D83" t="s">
        <v>227</v>
      </c>
      <c r="E83">
        <v>163</v>
      </c>
      <c r="F83" t="s">
        <v>201</v>
      </c>
      <c r="G83">
        <v>8706</v>
      </c>
      <c r="I83" t="s">
        <v>228</v>
      </c>
    </row>
    <row r="84" spans="4:9" x14ac:dyDescent="0.3">
      <c r="D84" t="s">
        <v>229</v>
      </c>
      <c r="E84">
        <v>163</v>
      </c>
      <c r="F84" t="s">
        <v>204</v>
      </c>
      <c r="G84">
        <v>8707</v>
      </c>
      <c r="I84" t="s">
        <v>230</v>
      </c>
    </row>
    <row r="85" spans="4:9" x14ac:dyDescent="0.3">
      <c r="D85" t="s">
        <v>231</v>
      </c>
      <c r="E85">
        <v>163</v>
      </c>
      <c r="F85" t="s">
        <v>207</v>
      </c>
      <c r="G85">
        <v>8708</v>
      </c>
      <c r="I85" t="s">
        <v>232</v>
      </c>
    </row>
    <row r="86" spans="4:9" x14ac:dyDescent="0.3">
      <c r="D86" t="s">
        <v>233</v>
      </c>
      <c r="E86">
        <v>163</v>
      </c>
      <c r="F86" t="s">
        <v>210</v>
      </c>
      <c r="G86">
        <v>8709</v>
      </c>
      <c r="I86" t="s">
        <v>234</v>
      </c>
    </row>
    <row r="87" spans="4:9" x14ac:dyDescent="0.3">
      <c r="D87" t="s">
        <v>235</v>
      </c>
      <c r="E87">
        <v>163</v>
      </c>
      <c r="F87" t="s">
        <v>213</v>
      </c>
      <c r="G87">
        <v>8710</v>
      </c>
      <c r="I87" t="s">
        <v>236</v>
      </c>
    </row>
    <row r="88" spans="4:9" x14ac:dyDescent="0.3">
      <c r="D88" t="s">
        <v>237</v>
      </c>
      <c r="E88">
        <v>163</v>
      </c>
      <c r="F88" t="s">
        <v>216</v>
      </c>
      <c r="G88">
        <v>8711</v>
      </c>
      <c r="I88" t="s">
        <v>238</v>
      </c>
    </row>
    <row r="89" spans="4:9" x14ac:dyDescent="0.3">
      <c r="D89" t="s">
        <v>239</v>
      </c>
      <c r="E89">
        <v>163</v>
      </c>
      <c r="F89" t="s">
        <v>219</v>
      </c>
      <c r="G89">
        <v>8712</v>
      </c>
      <c r="I89" t="s">
        <v>240</v>
      </c>
    </row>
    <row r="90" spans="4:9" x14ac:dyDescent="0.3">
      <c r="D90" t="s">
        <v>241</v>
      </c>
      <c r="E90">
        <v>163</v>
      </c>
      <c r="F90" t="s">
        <v>222</v>
      </c>
      <c r="G90">
        <v>8713</v>
      </c>
      <c r="I90" t="s">
        <v>242</v>
      </c>
    </row>
    <row r="91" spans="4:9" x14ac:dyDescent="0.3">
      <c r="D91" t="s">
        <v>243</v>
      </c>
      <c r="E91">
        <v>163</v>
      </c>
      <c r="F91" t="s">
        <v>225</v>
      </c>
      <c r="G91">
        <v>8714</v>
      </c>
      <c r="I91" t="s">
        <v>244</v>
      </c>
    </row>
    <row r="92" spans="4:9" x14ac:dyDescent="0.3">
      <c r="D92" t="s">
        <v>245</v>
      </c>
      <c r="E92">
        <v>163</v>
      </c>
      <c r="F92" t="s">
        <v>201</v>
      </c>
      <c r="G92">
        <v>8715</v>
      </c>
      <c r="I92" t="s">
        <v>246</v>
      </c>
    </row>
    <row r="93" spans="4:9" x14ac:dyDescent="0.3">
      <c r="D93" t="s">
        <v>247</v>
      </c>
      <c r="E93">
        <v>163</v>
      </c>
      <c r="F93" t="s">
        <v>204</v>
      </c>
      <c r="G93">
        <v>8716</v>
      </c>
      <c r="I93" t="s">
        <v>248</v>
      </c>
    </row>
    <row r="94" spans="4:9" x14ac:dyDescent="0.3">
      <c r="D94" t="s">
        <v>249</v>
      </c>
      <c r="E94">
        <v>163</v>
      </c>
      <c r="F94" t="s">
        <v>207</v>
      </c>
      <c r="G94">
        <v>8717</v>
      </c>
      <c r="I94" t="s">
        <v>250</v>
      </c>
    </row>
    <row r="95" spans="4:9" x14ac:dyDescent="0.3">
      <c r="D95" t="s">
        <v>251</v>
      </c>
      <c r="E95">
        <v>163</v>
      </c>
      <c r="F95" t="s">
        <v>210</v>
      </c>
      <c r="G95">
        <v>8718</v>
      </c>
      <c r="I95" t="s">
        <v>252</v>
      </c>
    </row>
    <row r="96" spans="4:9" x14ac:dyDescent="0.3">
      <c r="D96" t="s">
        <v>253</v>
      </c>
      <c r="E96">
        <v>163</v>
      </c>
      <c r="F96" t="s">
        <v>213</v>
      </c>
      <c r="G96">
        <v>8719</v>
      </c>
      <c r="I96" t="s">
        <v>254</v>
      </c>
    </row>
    <row r="97" spans="4:9" x14ac:dyDescent="0.3">
      <c r="D97" t="s">
        <v>255</v>
      </c>
      <c r="E97">
        <v>163</v>
      </c>
      <c r="F97" t="s">
        <v>216</v>
      </c>
      <c r="G97">
        <v>8720</v>
      </c>
      <c r="I97" t="s">
        <v>256</v>
      </c>
    </row>
    <row r="98" spans="4:9" x14ac:dyDescent="0.3">
      <c r="D98" t="s">
        <v>257</v>
      </c>
      <c r="E98">
        <v>163</v>
      </c>
      <c r="F98" t="s">
        <v>219</v>
      </c>
      <c r="G98">
        <v>8721</v>
      </c>
      <c r="I98" t="s">
        <v>258</v>
      </c>
    </row>
    <row r="99" spans="4:9" x14ac:dyDescent="0.3">
      <c r="D99" t="s">
        <v>259</v>
      </c>
      <c r="E99">
        <v>163</v>
      </c>
      <c r="F99" t="s">
        <v>222</v>
      </c>
      <c r="G99">
        <v>8722</v>
      </c>
      <c r="I99" t="s">
        <v>260</v>
      </c>
    </row>
    <row r="100" spans="4:9" x14ac:dyDescent="0.3">
      <c r="D100" t="s">
        <v>261</v>
      </c>
      <c r="E100">
        <v>163</v>
      </c>
      <c r="F100" t="s">
        <v>225</v>
      </c>
      <c r="G100">
        <v>8723</v>
      </c>
      <c r="I100" t="s">
        <v>262</v>
      </c>
    </row>
    <row r="101" spans="4:9" x14ac:dyDescent="0.3">
      <c r="D101" t="s">
        <v>263</v>
      </c>
      <c r="E101">
        <v>163</v>
      </c>
      <c r="F101" t="s">
        <v>201</v>
      </c>
      <c r="G101">
        <v>8724</v>
      </c>
      <c r="I101" t="s">
        <v>264</v>
      </c>
    </row>
    <row r="102" spans="4:9" x14ac:dyDescent="0.3">
      <c r="D102" t="s">
        <v>265</v>
      </c>
      <c r="E102">
        <v>163</v>
      </c>
      <c r="F102" t="s">
        <v>204</v>
      </c>
      <c r="G102">
        <v>8725</v>
      </c>
      <c r="I102" t="s">
        <v>266</v>
      </c>
    </row>
    <row r="103" spans="4:9" x14ac:dyDescent="0.3">
      <c r="D103" t="s">
        <v>267</v>
      </c>
      <c r="E103">
        <v>163</v>
      </c>
      <c r="F103" t="s">
        <v>207</v>
      </c>
      <c r="G103">
        <v>8726</v>
      </c>
      <c r="I103" t="s">
        <v>268</v>
      </c>
    </row>
    <row r="104" spans="4:9" x14ac:dyDescent="0.3">
      <c r="D104" t="s">
        <v>269</v>
      </c>
      <c r="E104">
        <v>163</v>
      </c>
      <c r="F104" t="s">
        <v>210</v>
      </c>
      <c r="G104">
        <v>8727</v>
      </c>
      <c r="I104" t="s">
        <v>270</v>
      </c>
    </row>
    <row r="105" spans="4:9" x14ac:dyDescent="0.3">
      <c r="D105" t="s">
        <v>271</v>
      </c>
      <c r="E105">
        <v>163</v>
      </c>
      <c r="F105" t="s">
        <v>213</v>
      </c>
      <c r="G105">
        <v>8728</v>
      </c>
      <c r="I105" t="s">
        <v>272</v>
      </c>
    </row>
    <row r="106" spans="4:9" x14ac:dyDescent="0.3">
      <c r="D106" t="s">
        <v>273</v>
      </c>
      <c r="E106">
        <v>163</v>
      </c>
      <c r="F106" t="s">
        <v>216</v>
      </c>
      <c r="G106">
        <v>8729</v>
      </c>
      <c r="I106" t="s">
        <v>274</v>
      </c>
    </row>
    <row r="107" spans="4:9" x14ac:dyDescent="0.3">
      <c r="D107" t="s">
        <v>275</v>
      </c>
      <c r="E107">
        <v>163</v>
      </c>
      <c r="F107" t="s">
        <v>219</v>
      </c>
      <c r="G107">
        <v>8730</v>
      </c>
      <c r="I107" t="s">
        <v>276</v>
      </c>
    </row>
    <row r="108" spans="4:9" x14ac:dyDescent="0.3">
      <c r="D108" t="s">
        <v>277</v>
      </c>
      <c r="E108">
        <v>163</v>
      </c>
      <c r="F108" t="s">
        <v>278</v>
      </c>
      <c r="G108">
        <v>8731</v>
      </c>
      <c r="I108" t="s">
        <v>279</v>
      </c>
    </row>
    <row r="109" spans="4:9" x14ac:dyDescent="0.3">
      <c r="D109" t="s">
        <v>200</v>
      </c>
      <c r="E109">
        <v>162</v>
      </c>
      <c r="F109" t="s">
        <v>201</v>
      </c>
      <c r="G109">
        <v>8686</v>
      </c>
      <c r="I109" t="s">
        <v>202</v>
      </c>
    </row>
    <row r="110" spans="4:9" x14ac:dyDescent="0.3">
      <c r="D110" t="s">
        <v>209</v>
      </c>
      <c r="E110">
        <v>162</v>
      </c>
      <c r="F110" t="s">
        <v>210</v>
      </c>
      <c r="G110">
        <v>8687</v>
      </c>
      <c r="I110" t="s">
        <v>211</v>
      </c>
    </row>
    <row r="111" spans="4:9" x14ac:dyDescent="0.3">
      <c r="D111" t="s">
        <v>227</v>
      </c>
      <c r="E111">
        <v>162</v>
      </c>
      <c r="F111" t="s">
        <v>201</v>
      </c>
      <c r="G111">
        <v>8688</v>
      </c>
      <c r="I111" t="s">
        <v>228</v>
      </c>
    </row>
    <row r="112" spans="4:9" x14ac:dyDescent="0.3">
      <c r="D112" t="s">
        <v>233</v>
      </c>
      <c r="E112">
        <v>162</v>
      </c>
      <c r="F112" t="s">
        <v>210</v>
      </c>
      <c r="G112">
        <v>8689</v>
      </c>
      <c r="I112" t="s">
        <v>234</v>
      </c>
    </row>
    <row r="113" spans="4:9" x14ac:dyDescent="0.3">
      <c r="D113" t="s">
        <v>245</v>
      </c>
      <c r="E113">
        <v>162</v>
      </c>
      <c r="F113" t="s">
        <v>201</v>
      </c>
      <c r="G113">
        <v>8690</v>
      </c>
      <c r="I113" t="s">
        <v>246</v>
      </c>
    </row>
    <row r="114" spans="4:9" x14ac:dyDescent="0.3">
      <c r="D114" t="s">
        <v>251</v>
      </c>
      <c r="E114">
        <v>162</v>
      </c>
      <c r="F114" t="s">
        <v>210</v>
      </c>
      <c r="G114">
        <v>8691</v>
      </c>
      <c r="I114" t="s">
        <v>252</v>
      </c>
    </row>
    <row r="115" spans="4:9" x14ac:dyDescent="0.3">
      <c r="D115" t="s">
        <v>263</v>
      </c>
      <c r="E115">
        <v>162</v>
      </c>
      <c r="F115" t="s">
        <v>201</v>
      </c>
      <c r="G115">
        <v>8692</v>
      </c>
      <c r="I115" t="s">
        <v>264</v>
      </c>
    </row>
    <row r="116" spans="4:9" x14ac:dyDescent="0.3">
      <c r="D116" t="s">
        <v>269</v>
      </c>
      <c r="E116">
        <v>162</v>
      </c>
      <c r="F116" t="s">
        <v>210</v>
      </c>
      <c r="G116">
        <v>8693</v>
      </c>
      <c r="I116" t="s">
        <v>270</v>
      </c>
    </row>
    <row r="117" spans="4:9" x14ac:dyDescent="0.3">
      <c r="D117" t="s">
        <v>263</v>
      </c>
      <c r="E117">
        <v>161</v>
      </c>
      <c r="F117" t="s">
        <v>201</v>
      </c>
      <c r="G117">
        <v>8673</v>
      </c>
      <c r="I117" t="s">
        <v>280</v>
      </c>
    </row>
    <row r="118" spans="4:9" x14ac:dyDescent="0.3">
      <c r="D118" t="s">
        <v>265</v>
      </c>
      <c r="E118">
        <v>161</v>
      </c>
      <c r="F118" t="s">
        <v>204</v>
      </c>
      <c r="G118">
        <v>8674</v>
      </c>
      <c r="I118" t="s">
        <v>281</v>
      </c>
    </row>
    <row r="119" spans="4:9" x14ac:dyDescent="0.3">
      <c r="D119" t="s">
        <v>267</v>
      </c>
      <c r="E119">
        <v>161</v>
      </c>
      <c r="F119" t="s">
        <v>207</v>
      </c>
      <c r="G119">
        <v>8675</v>
      </c>
      <c r="I119" t="s">
        <v>282</v>
      </c>
    </row>
    <row r="120" spans="4:9" x14ac:dyDescent="0.3">
      <c r="D120" t="s">
        <v>269</v>
      </c>
      <c r="E120">
        <v>161</v>
      </c>
      <c r="F120" t="s">
        <v>210</v>
      </c>
      <c r="G120">
        <v>8676</v>
      </c>
      <c r="I120" t="s">
        <v>283</v>
      </c>
    </row>
    <row r="121" spans="4:9" x14ac:dyDescent="0.3">
      <c r="D121" t="s">
        <v>271</v>
      </c>
      <c r="E121">
        <v>161</v>
      </c>
      <c r="F121" t="s">
        <v>213</v>
      </c>
      <c r="G121">
        <v>8677</v>
      </c>
      <c r="I121" t="s">
        <v>284</v>
      </c>
    </row>
    <row r="122" spans="4:9" x14ac:dyDescent="0.3">
      <c r="D122" t="s">
        <v>273</v>
      </c>
      <c r="E122">
        <v>161</v>
      </c>
      <c r="F122" t="s">
        <v>216</v>
      </c>
      <c r="G122">
        <v>8678</v>
      </c>
      <c r="I122" t="s">
        <v>285</v>
      </c>
    </row>
    <row r="123" spans="4:9" x14ac:dyDescent="0.3">
      <c r="D123" t="s">
        <v>275</v>
      </c>
      <c r="E123">
        <v>161</v>
      </c>
      <c r="F123" t="s">
        <v>219</v>
      </c>
      <c r="G123">
        <v>8679</v>
      </c>
      <c r="I123" t="s">
        <v>286</v>
      </c>
    </row>
    <row r="124" spans="4:9" x14ac:dyDescent="0.3">
      <c r="D124" t="s">
        <v>287</v>
      </c>
      <c r="E124">
        <v>161</v>
      </c>
      <c r="F124" t="s">
        <v>222</v>
      </c>
      <c r="G124">
        <v>8680</v>
      </c>
      <c r="I124" t="s">
        <v>288</v>
      </c>
    </row>
    <row r="125" spans="4:9" x14ac:dyDescent="0.3">
      <c r="D125" t="s">
        <v>289</v>
      </c>
      <c r="E125">
        <v>161</v>
      </c>
      <c r="F125" t="s">
        <v>225</v>
      </c>
      <c r="G125">
        <v>8681</v>
      </c>
      <c r="I125" t="s">
        <v>290</v>
      </c>
    </row>
    <row r="126" spans="4:9" x14ac:dyDescent="0.3">
      <c r="D126" t="s">
        <v>277</v>
      </c>
      <c r="E126">
        <v>161</v>
      </c>
      <c r="F126" t="s">
        <v>278</v>
      </c>
      <c r="G126">
        <v>8682</v>
      </c>
      <c r="I126" t="s">
        <v>279</v>
      </c>
    </row>
    <row r="127" spans="4:9" x14ac:dyDescent="0.3">
      <c r="D127" t="s">
        <v>200</v>
      </c>
      <c r="E127">
        <v>160</v>
      </c>
      <c r="F127" t="s">
        <v>201</v>
      </c>
      <c r="G127">
        <v>8635</v>
      </c>
      <c r="I127" t="s">
        <v>202</v>
      </c>
    </row>
    <row r="128" spans="4:9" x14ac:dyDescent="0.3">
      <c r="D128" t="s">
        <v>203</v>
      </c>
      <c r="E128">
        <v>160</v>
      </c>
      <c r="F128" t="s">
        <v>204</v>
      </c>
      <c r="G128">
        <v>8636</v>
      </c>
      <c r="I128" t="s">
        <v>205</v>
      </c>
    </row>
    <row r="129" spans="4:9" x14ac:dyDescent="0.3">
      <c r="D129" t="s">
        <v>206</v>
      </c>
      <c r="E129">
        <v>160</v>
      </c>
      <c r="F129" t="s">
        <v>207</v>
      </c>
      <c r="G129">
        <v>8637</v>
      </c>
      <c r="I129" t="s">
        <v>208</v>
      </c>
    </row>
    <row r="130" spans="4:9" x14ac:dyDescent="0.3">
      <c r="D130" t="s">
        <v>209</v>
      </c>
      <c r="E130">
        <v>160</v>
      </c>
      <c r="F130" t="s">
        <v>210</v>
      </c>
      <c r="G130">
        <v>8638</v>
      </c>
      <c r="I130" t="s">
        <v>211</v>
      </c>
    </row>
    <row r="131" spans="4:9" x14ac:dyDescent="0.3">
      <c r="D131" t="s">
        <v>212</v>
      </c>
      <c r="E131">
        <v>160</v>
      </c>
      <c r="F131" t="s">
        <v>213</v>
      </c>
      <c r="G131">
        <v>8639</v>
      </c>
      <c r="I131" t="s">
        <v>214</v>
      </c>
    </row>
    <row r="132" spans="4:9" x14ac:dyDescent="0.3">
      <c r="D132" t="s">
        <v>215</v>
      </c>
      <c r="E132">
        <v>160</v>
      </c>
      <c r="F132" t="s">
        <v>216</v>
      </c>
      <c r="G132">
        <v>8640</v>
      </c>
      <c r="I132" t="s">
        <v>217</v>
      </c>
    </row>
    <row r="133" spans="4:9" x14ac:dyDescent="0.3">
      <c r="D133" t="s">
        <v>218</v>
      </c>
      <c r="E133">
        <v>160</v>
      </c>
      <c r="F133" t="s">
        <v>219</v>
      </c>
      <c r="G133">
        <v>8641</v>
      </c>
      <c r="I133" t="s">
        <v>220</v>
      </c>
    </row>
    <row r="134" spans="4:9" x14ac:dyDescent="0.3">
      <c r="D134" t="s">
        <v>221</v>
      </c>
      <c r="E134">
        <v>160</v>
      </c>
      <c r="F134" t="s">
        <v>222</v>
      </c>
      <c r="G134">
        <v>8642</v>
      </c>
      <c r="I134" t="s">
        <v>223</v>
      </c>
    </row>
    <row r="135" spans="4:9" x14ac:dyDescent="0.3">
      <c r="D135" t="s">
        <v>224</v>
      </c>
      <c r="E135">
        <v>160</v>
      </c>
      <c r="F135" t="s">
        <v>225</v>
      </c>
      <c r="G135">
        <v>8643</v>
      </c>
      <c r="I135" t="s">
        <v>226</v>
      </c>
    </row>
    <row r="136" spans="4:9" x14ac:dyDescent="0.3">
      <c r="D136" t="s">
        <v>227</v>
      </c>
      <c r="E136">
        <v>160</v>
      </c>
      <c r="F136" t="s">
        <v>201</v>
      </c>
      <c r="G136">
        <v>8644</v>
      </c>
      <c r="I136" t="s">
        <v>228</v>
      </c>
    </row>
    <row r="137" spans="4:9" x14ac:dyDescent="0.3">
      <c r="D137" t="s">
        <v>229</v>
      </c>
      <c r="E137">
        <v>160</v>
      </c>
      <c r="F137" t="s">
        <v>204</v>
      </c>
      <c r="G137">
        <v>8645</v>
      </c>
      <c r="I137" t="s">
        <v>230</v>
      </c>
    </row>
    <row r="138" spans="4:9" x14ac:dyDescent="0.3">
      <c r="D138" t="s">
        <v>231</v>
      </c>
      <c r="E138">
        <v>160</v>
      </c>
      <c r="F138" t="s">
        <v>207</v>
      </c>
      <c r="G138">
        <v>8646</v>
      </c>
      <c r="I138" t="s">
        <v>232</v>
      </c>
    </row>
    <row r="139" spans="4:9" x14ac:dyDescent="0.3">
      <c r="D139" t="s">
        <v>233</v>
      </c>
      <c r="E139">
        <v>160</v>
      </c>
      <c r="F139" t="s">
        <v>210</v>
      </c>
      <c r="G139">
        <v>8647</v>
      </c>
      <c r="I139" t="s">
        <v>234</v>
      </c>
    </row>
    <row r="140" spans="4:9" x14ac:dyDescent="0.3">
      <c r="D140" t="s">
        <v>235</v>
      </c>
      <c r="E140">
        <v>160</v>
      </c>
      <c r="F140" t="s">
        <v>213</v>
      </c>
      <c r="G140">
        <v>8648</v>
      </c>
      <c r="I140" t="s">
        <v>236</v>
      </c>
    </row>
    <row r="141" spans="4:9" x14ac:dyDescent="0.3">
      <c r="D141" t="s">
        <v>237</v>
      </c>
      <c r="E141">
        <v>160</v>
      </c>
      <c r="F141" t="s">
        <v>216</v>
      </c>
      <c r="G141">
        <v>8649</v>
      </c>
      <c r="I141" t="s">
        <v>238</v>
      </c>
    </row>
    <row r="142" spans="4:9" x14ac:dyDescent="0.3">
      <c r="D142" t="s">
        <v>239</v>
      </c>
      <c r="E142">
        <v>160</v>
      </c>
      <c r="F142" t="s">
        <v>219</v>
      </c>
      <c r="G142">
        <v>8650</v>
      </c>
      <c r="I142" t="s">
        <v>240</v>
      </c>
    </row>
    <row r="143" spans="4:9" x14ac:dyDescent="0.3">
      <c r="D143" t="s">
        <v>241</v>
      </c>
      <c r="E143">
        <v>160</v>
      </c>
      <c r="F143" t="s">
        <v>222</v>
      </c>
      <c r="G143">
        <v>8651</v>
      </c>
      <c r="I143" t="s">
        <v>242</v>
      </c>
    </row>
    <row r="144" spans="4:9" x14ac:dyDescent="0.3">
      <c r="D144" t="s">
        <v>243</v>
      </c>
      <c r="E144">
        <v>160</v>
      </c>
      <c r="F144" t="s">
        <v>225</v>
      </c>
      <c r="G144">
        <v>8652</v>
      </c>
      <c r="I144" t="s">
        <v>244</v>
      </c>
    </row>
    <row r="145" spans="4:9" x14ac:dyDescent="0.3">
      <c r="D145" t="s">
        <v>245</v>
      </c>
      <c r="E145">
        <v>160</v>
      </c>
      <c r="F145" t="s">
        <v>201</v>
      </c>
      <c r="G145">
        <v>8653</v>
      </c>
      <c r="I145" t="s">
        <v>246</v>
      </c>
    </row>
    <row r="146" spans="4:9" x14ac:dyDescent="0.3">
      <c r="D146" t="s">
        <v>247</v>
      </c>
      <c r="E146">
        <v>160</v>
      </c>
      <c r="F146" t="s">
        <v>204</v>
      </c>
      <c r="G146">
        <v>8654</v>
      </c>
      <c r="I146" t="s">
        <v>248</v>
      </c>
    </row>
    <row r="147" spans="4:9" x14ac:dyDescent="0.3">
      <c r="D147" t="s">
        <v>249</v>
      </c>
      <c r="E147">
        <v>160</v>
      </c>
      <c r="F147" t="s">
        <v>207</v>
      </c>
      <c r="G147">
        <v>8655</v>
      </c>
      <c r="I147" t="s">
        <v>250</v>
      </c>
    </row>
    <row r="148" spans="4:9" x14ac:dyDescent="0.3">
      <c r="D148" t="s">
        <v>251</v>
      </c>
      <c r="E148">
        <v>160</v>
      </c>
      <c r="F148" t="s">
        <v>210</v>
      </c>
      <c r="G148">
        <v>8656</v>
      </c>
      <c r="I148" t="s">
        <v>252</v>
      </c>
    </row>
    <row r="149" spans="4:9" x14ac:dyDescent="0.3">
      <c r="D149" t="s">
        <v>253</v>
      </c>
      <c r="E149">
        <v>160</v>
      </c>
      <c r="F149" t="s">
        <v>213</v>
      </c>
      <c r="G149">
        <v>8657</v>
      </c>
      <c r="I149" t="s">
        <v>254</v>
      </c>
    </row>
    <row r="150" spans="4:9" x14ac:dyDescent="0.3">
      <c r="D150" t="s">
        <v>255</v>
      </c>
      <c r="E150">
        <v>160</v>
      </c>
      <c r="F150" t="s">
        <v>216</v>
      </c>
      <c r="G150">
        <v>8658</v>
      </c>
      <c r="I150" t="s">
        <v>256</v>
      </c>
    </row>
    <row r="151" spans="4:9" x14ac:dyDescent="0.3">
      <c r="D151" t="s">
        <v>257</v>
      </c>
      <c r="E151">
        <v>160</v>
      </c>
      <c r="F151" t="s">
        <v>219</v>
      </c>
      <c r="G151">
        <v>8659</v>
      </c>
      <c r="I151" t="s">
        <v>258</v>
      </c>
    </row>
    <row r="152" spans="4:9" x14ac:dyDescent="0.3">
      <c r="D152" t="s">
        <v>259</v>
      </c>
      <c r="E152">
        <v>160</v>
      </c>
      <c r="F152" t="s">
        <v>222</v>
      </c>
      <c r="G152">
        <v>8660</v>
      </c>
      <c r="I152" t="s">
        <v>260</v>
      </c>
    </row>
    <row r="153" spans="4:9" x14ac:dyDescent="0.3">
      <c r="D153" t="s">
        <v>261</v>
      </c>
      <c r="E153">
        <v>160</v>
      </c>
      <c r="F153" t="s">
        <v>225</v>
      </c>
      <c r="G153">
        <v>8661</v>
      </c>
      <c r="I153" t="s">
        <v>262</v>
      </c>
    </row>
    <row r="154" spans="4:9" x14ac:dyDescent="0.3">
      <c r="D154" t="s">
        <v>263</v>
      </c>
      <c r="E154">
        <v>160</v>
      </c>
      <c r="F154" t="s">
        <v>201</v>
      </c>
      <c r="G154">
        <v>8662</v>
      </c>
      <c r="I154" t="s">
        <v>264</v>
      </c>
    </row>
    <row r="155" spans="4:9" x14ac:dyDescent="0.3">
      <c r="D155" t="s">
        <v>265</v>
      </c>
      <c r="E155">
        <v>160</v>
      </c>
      <c r="F155" t="s">
        <v>204</v>
      </c>
      <c r="G155">
        <v>8663</v>
      </c>
      <c r="I155" t="s">
        <v>266</v>
      </c>
    </row>
    <row r="156" spans="4:9" x14ac:dyDescent="0.3">
      <c r="D156" t="s">
        <v>267</v>
      </c>
      <c r="E156">
        <v>160</v>
      </c>
      <c r="F156" t="s">
        <v>207</v>
      </c>
      <c r="G156">
        <v>8664</v>
      </c>
      <c r="I156" t="s">
        <v>268</v>
      </c>
    </row>
    <row r="157" spans="4:9" x14ac:dyDescent="0.3">
      <c r="D157" t="s">
        <v>269</v>
      </c>
      <c r="E157">
        <v>160</v>
      </c>
      <c r="F157" t="s">
        <v>210</v>
      </c>
      <c r="G157">
        <v>8665</v>
      </c>
      <c r="I157" t="s">
        <v>270</v>
      </c>
    </row>
    <row r="158" spans="4:9" x14ac:dyDescent="0.3">
      <c r="D158" t="s">
        <v>271</v>
      </c>
      <c r="E158">
        <v>160</v>
      </c>
      <c r="F158" t="s">
        <v>213</v>
      </c>
      <c r="G158">
        <v>8666</v>
      </c>
      <c r="I158" t="s">
        <v>272</v>
      </c>
    </row>
    <row r="159" spans="4:9" x14ac:dyDescent="0.3">
      <c r="D159" t="s">
        <v>273</v>
      </c>
      <c r="E159">
        <v>160</v>
      </c>
      <c r="F159" t="s">
        <v>216</v>
      </c>
      <c r="G159">
        <v>8667</v>
      </c>
      <c r="I159" t="s">
        <v>274</v>
      </c>
    </row>
    <row r="160" spans="4:9" x14ac:dyDescent="0.3">
      <c r="D160" t="s">
        <v>275</v>
      </c>
      <c r="E160">
        <v>160</v>
      </c>
      <c r="F160" t="s">
        <v>219</v>
      </c>
      <c r="G160">
        <v>8668</v>
      </c>
      <c r="I160" t="s">
        <v>276</v>
      </c>
    </row>
    <row r="161" spans="4:9" x14ac:dyDescent="0.3">
      <c r="D161" t="s">
        <v>277</v>
      </c>
      <c r="E161">
        <v>160</v>
      </c>
      <c r="F161" t="s">
        <v>278</v>
      </c>
      <c r="G161">
        <v>8669</v>
      </c>
      <c r="I161" t="s">
        <v>279</v>
      </c>
    </row>
    <row r="162" spans="4:9" x14ac:dyDescent="0.3">
      <c r="D162" t="s">
        <v>263</v>
      </c>
      <c r="E162">
        <v>159</v>
      </c>
      <c r="F162" t="s">
        <v>201</v>
      </c>
      <c r="G162">
        <v>8622</v>
      </c>
      <c r="I162" t="s">
        <v>280</v>
      </c>
    </row>
    <row r="163" spans="4:9" x14ac:dyDescent="0.3">
      <c r="D163" t="s">
        <v>265</v>
      </c>
      <c r="E163">
        <v>159</v>
      </c>
      <c r="F163" t="s">
        <v>204</v>
      </c>
      <c r="G163">
        <v>8623</v>
      </c>
      <c r="I163" t="s">
        <v>281</v>
      </c>
    </row>
    <row r="164" spans="4:9" x14ac:dyDescent="0.3">
      <c r="D164" t="s">
        <v>267</v>
      </c>
      <c r="E164">
        <v>159</v>
      </c>
      <c r="F164" t="s">
        <v>207</v>
      </c>
      <c r="G164">
        <v>8624</v>
      </c>
      <c r="I164" t="s">
        <v>282</v>
      </c>
    </row>
    <row r="165" spans="4:9" x14ac:dyDescent="0.3">
      <c r="D165" t="s">
        <v>269</v>
      </c>
      <c r="E165">
        <v>159</v>
      </c>
      <c r="F165" t="s">
        <v>210</v>
      </c>
      <c r="G165">
        <v>8625</v>
      </c>
      <c r="I165" t="s">
        <v>283</v>
      </c>
    </row>
    <row r="166" spans="4:9" x14ac:dyDescent="0.3">
      <c r="D166" t="s">
        <v>271</v>
      </c>
      <c r="E166">
        <v>159</v>
      </c>
      <c r="F166" t="s">
        <v>213</v>
      </c>
      <c r="G166">
        <v>8626</v>
      </c>
      <c r="I166" t="s">
        <v>284</v>
      </c>
    </row>
    <row r="167" spans="4:9" x14ac:dyDescent="0.3">
      <c r="D167" t="s">
        <v>273</v>
      </c>
      <c r="E167">
        <v>159</v>
      </c>
      <c r="F167" t="s">
        <v>216</v>
      </c>
      <c r="G167">
        <v>8627</v>
      </c>
      <c r="I167" t="s">
        <v>285</v>
      </c>
    </row>
    <row r="168" spans="4:9" x14ac:dyDescent="0.3">
      <c r="D168" t="s">
        <v>275</v>
      </c>
      <c r="E168">
        <v>159</v>
      </c>
      <c r="F168" t="s">
        <v>219</v>
      </c>
      <c r="G168">
        <v>8628</v>
      </c>
      <c r="I168" t="s">
        <v>286</v>
      </c>
    </row>
    <row r="169" spans="4:9" x14ac:dyDescent="0.3">
      <c r="D169" t="s">
        <v>287</v>
      </c>
      <c r="E169">
        <v>159</v>
      </c>
      <c r="F169" t="s">
        <v>222</v>
      </c>
      <c r="G169">
        <v>8629</v>
      </c>
      <c r="I169" t="s">
        <v>288</v>
      </c>
    </row>
    <row r="170" spans="4:9" x14ac:dyDescent="0.3">
      <c r="D170" t="s">
        <v>289</v>
      </c>
      <c r="E170">
        <v>159</v>
      </c>
      <c r="F170" t="s">
        <v>225</v>
      </c>
      <c r="G170">
        <v>8630</v>
      </c>
      <c r="I170" t="s">
        <v>290</v>
      </c>
    </row>
    <row r="171" spans="4:9" x14ac:dyDescent="0.3">
      <c r="D171" t="s">
        <v>277</v>
      </c>
      <c r="E171">
        <v>159</v>
      </c>
      <c r="F171" t="s">
        <v>278</v>
      </c>
      <c r="G171">
        <v>8631</v>
      </c>
      <c r="I171" t="s">
        <v>279</v>
      </c>
    </row>
    <row r="172" spans="4:9" x14ac:dyDescent="0.3">
      <c r="D172" t="s">
        <v>263</v>
      </c>
      <c r="E172">
        <v>158</v>
      </c>
      <c r="F172" t="s">
        <v>201</v>
      </c>
      <c r="G172">
        <v>8609</v>
      </c>
      <c r="I172" t="s">
        <v>280</v>
      </c>
    </row>
    <row r="173" spans="4:9" x14ac:dyDescent="0.3">
      <c r="D173" t="s">
        <v>265</v>
      </c>
      <c r="E173">
        <v>158</v>
      </c>
      <c r="F173" t="s">
        <v>204</v>
      </c>
      <c r="G173">
        <v>8610</v>
      </c>
      <c r="I173" t="s">
        <v>281</v>
      </c>
    </row>
    <row r="174" spans="4:9" x14ac:dyDescent="0.3">
      <c r="D174" t="s">
        <v>267</v>
      </c>
      <c r="E174">
        <v>158</v>
      </c>
      <c r="F174" t="s">
        <v>207</v>
      </c>
      <c r="G174">
        <v>8611</v>
      </c>
      <c r="I174" t="s">
        <v>282</v>
      </c>
    </row>
    <row r="175" spans="4:9" x14ac:dyDescent="0.3">
      <c r="D175" t="s">
        <v>269</v>
      </c>
      <c r="E175">
        <v>158</v>
      </c>
      <c r="F175" t="s">
        <v>210</v>
      </c>
      <c r="G175">
        <v>8612</v>
      </c>
      <c r="I175" t="s">
        <v>283</v>
      </c>
    </row>
    <row r="176" spans="4:9" x14ac:dyDescent="0.3">
      <c r="D176" t="s">
        <v>271</v>
      </c>
      <c r="E176">
        <v>158</v>
      </c>
      <c r="F176" t="s">
        <v>213</v>
      </c>
      <c r="G176">
        <v>8613</v>
      </c>
      <c r="I176" t="s">
        <v>284</v>
      </c>
    </row>
    <row r="177" spans="1:9" x14ac:dyDescent="0.3">
      <c r="D177" t="s">
        <v>273</v>
      </c>
      <c r="E177">
        <v>158</v>
      </c>
      <c r="F177" t="s">
        <v>216</v>
      </c>
      <c r="G177">
        <v>8614</v>
      </c>
      <c r="I177" t="s">
        <v>285</v>
      </c>
    </row>
    <row r="178" spans="1:9" x14ac:dyDescent="0.3">
      <c r="D178" t="s">
        <v>275</v>
      </c>
      <c r="E178">
        <v>158</v>
      </c>
      <c r="F178" t="s">
        <v>219</v>
      </c>
      <c r="G178">
        <v>8615</v>
      </c>
      <c r="I178" t="s">
        <v>286</v>
      </c>
    </row>
    <row r="179" spans="1:9" x14ac:dyDescent="0.3">
      <c r="D179" t="s">
        <v>287</v>
      </c>
      <c r="E179">
        <v>158</v>
      </c>
      <c r="F179" t="s">
        <v>222</v>
      </c>
      <c r="G179">
        <v>8616</v>
      </c>
      <c r="I179" t="s">
        <v>288</v>
      </c>
    </row>
    <row r="180" spans="1:9" x14ac:dyDescent="0.3">
      <c r="D180" t="s">
        <v>289</v>
      </c>
      <c r="E180">
        <v>158</v>
      </c>
      <c r="F180" t="s">
        <v>225</v>
      </c>
      <c r="G180">
        <v>8617</v>
      </c>
      <c r="I180" t="s">
        <v>290</v>
      </c>
    </row>
    <row r="181" spans="1:9" x14ac:dyDescent="0.3">
      <c r="D181" t="s">
        <v>277</v>
      </c>
      <c r="E181">
        <v>158</v>
      </c>
      <c r="F181" t="s">
        <v>278</v>
      </c>
      <c r="G181">
        <v>8618</v>
      </c>
      <c r="I181" t="s">
        <v>279</v>
      </c>
    </row>
    <row r="182" spans="1:9" x14ac:dyDescent="0.3">
      <c r="D182" t="s">
        <v>263</v>
      </c>
      <c r="E182">
        <v>157</v>
      </c>
      <c r="F182" t="s">
        <v>201</v>
      </c>
      <c r="G182">
        <v>8596</v>
      </c>
      <c r="I182" t="s">
        <v>280</v>
      </c>
    </row>
    <row r="183" spans="1:9" x14ac:dyDescent="0.3">
      <c r="D183" t="s">
        <v>265</v>
      </c>
      <c r="E183">
        <v>157</v>
      </c>
      <c r="F183" t="s">
        <v>204</v>
      </c>
      <c r="G183">
        <v>8597</v>
      </c>
      <c r="I183" t="s">
        <v>281</v>
      </c>
    </row>
    <row r="184" spans="1:9" x14ac:dyDescent="0.3">
      <c r="D184" t="s">
        <v>267</v>
      </c>
      <c r="E184">
        <v>157</v>
      </c>
      <c r="F184" t="s">
        <v>207</v>
      </c>
      <c r="G184">
        <v>8598</v>
      </c>
      <c r="I184" t="s">
        <v>282</v>
      </c>
    </row>
    <row r="185" spans="1:9" x14ac:dyDescent="0.3">
      <c r="D185" t="s">
        <v>269</v>
      </c>
      <c r="E185">
        <v>157</v>
      </c>
      <c r="F185" t="s">
        <v>210</v>
      </c>
      <c r="G185">
        <v>8599</v>
      </c>
      <c r="I185" t="s">
        <v>283</v>
      </c>
    </row>
    <row r="186" spans="1:9" x14ac:dyDescent="0.3">
      <c r="D186" t="s">
        <v>271</v>
      </c>
      <c r="E186">
        <v>157</v>
      </c>
      <c r="F186" t="s">
        <v>213</v>
      </c>
      <c r="G186">
        <v>8600</v>
      </c>
      <c r="I186" t="s">
        <v>284</v>
      </c>
    </row>
    <row r="187" spans="1:9" x14ac:dyDescent="0.3">
      <c r="D187" t="s">
        <v>273</v>
      </c>
      <c r="E187">
        <v>157</v>
      </c>
      <c r="F187" t="s">
        <v>216</v>
      </c>
      <c r="G187">
        <v>8601</v>
      </c>
      <c r="I187" t="s">
        <v>285</v>
      </c>
    </row>
    <row r="188" spans="1:9" x14ac:dyDescent="0.3">
      <c r="D188" t="s">
        <v>275</v>
      </c>
      <c r="E188">
        <v>157</v>
      </c>
      <c r="F188" t="s">
        <v>219</v>
      </c>
      <c r="G188">
        <v>8602</v>
      </c>
      <c r="I188" t="s">
        <v>286</v>
      </c>
    </row>
    <row r="189" spans="1:9" x14ac:dyDescent="0.3">
      <c r="D189" t="s">
        <v>287</v>
      </c>
      <c r="E189">
        <v>157</v>
      </c>
      <c r="F189" t="s">
        <v>222</v>
      </c>
      <c r="G189">
        <v>8603</v>
      </c>
      <c r="I189" t="s">
        <v>288</v>
      </c>
    </row>
    <row r="190" spans="1:9" x14ac:dyDescent="0.3">
      <c r="D190" t="s">
        <v>289</v>
      </c>
      <c r="E190">
        <v>157</v>
      </c>
      <c r="F190" t="s">
        <v>225</v>
      </c>
      <c r="G190">
        <v>8604</v>
      </c>
      <c r="I190" t="s">
        <v>290</v>
      </c>
    </row>
    <row r="191" spans="1:9" x14ac:dyDescent="0.3">
      <c r="D191" t="s">
        <v>277</v>
      </c>
      <c r="E191">
        <v>157</v>
      </c>
      <c r="F191" t="s">
        <v>278</v>
      </c>
      <c r="G191">
        <v>8605</v>
      </c>
      <c r="I191" t="s">
        <v>279</v>
      </c>
    </row>
    <row r="192" spans="1:9" x14ac:dyDescent="0.3">
      <c r="A192" t="s">
        <v>291</v>
      </c>
      <c r="B192" t="s">
        <v>292</v>
      </c>
      <c r="D192" t="s">
        <v>293</v>
      </c>
      <c r="E192">
        <v>156</v>
      </c>
      <c r="F192" t="s">
        <v>294</v>
      </c>
      <c r="G192">
        <v>8590</v>
      </c>
      <c r="I192" t="s">
        <v>293</v>
      </c>
    </row>
    <row r="193" spans="1:9" x14ac:dyDescent="0.3">
      <c r="A193" t="s">
        <v>291</v>
      </c>
      <c r="B193" t="s">
        <v>292</v>
      </c>
      <c r="D193" t="s">
        <v>295</v>
      </c>
      <c r="E193">
        <v>156</v>
      </c>
      <c r="F193" t="s">
        <v>294</v>
      </c>
      <c r="G193">
        <v>8591</v>
      </c>
      <c r="I193" t="s">
        <v>295</v>
      </c>
    </row>
    <row r="194" spans="1:9" x14ac:dyDescent="0.3">
      <c r="A194" t="s">
        <v>291</v>
      </c>
      <c r="B194" t="s">
        <v>292</v>
      </c>
      <c r="D194" t="s">
        <v>296</v>
      </c>
      <c r="E194">
        <v>156</v>
      </c>
      <c r="F194" t="s">
        <v>294</v>
      </c>
      <c r="G194">
        <v>8592</v>
      </c>
      <c r="I194" t="s">
        <v>296</v>
      </c>
    </row>
    <row r="195" spans="1:9" x14ac:dyDescent="0.3">
      <c r="A195" t="s">
        <v>297</v>
      </c>
      <c r="B195" t="s">
        <v>298</v>
      </c>
      <c r="D195" t="s">
        <v>299</v>
      </c>
      <c r="E195">
        <v>155</v>
      </c>
      <c r="F195" t="s">
        <v>294</v>
      </c>
      <c r="G195">
        <v>8585</v>
      </c>
      <c r="I195" t="s">
        <v>300</v>
      </c>
    </row>
    <row r="196" spans="1:9" x14ac:dyDescent="0.3">
      <c r="A196" t="s">
        <v>297</v>
      </c>
      <c r="B196" t="s">
        <v>298</v>
      </c>
      <c r="D196" t="s">
        <v>301</v>
      </c>
      <c r="E196">
        <v>155</v>
      </c>
      <c r="F196" t="s">
        <v>294</v>
      </c>
      <c r="G196">
        <v>8586</v>
      </c>
      <c r="I196" t="s">
        <v>302</v>
      </c>
    </row>
    <row r="197" spans="1:9" x14ac:dyDescent="0.3">
      <c r="D197" t="s">
        <v>303</v>
      </c>
      <c r="E197">
        <v>154</v>
      </c>
      <c r="F197" t="s">
        <v>304</v>
      </c>
      <c r="G197">
        <v>8580</v>
      </c>
      <c r="I197" t="s">
        <v>305</v>
      </c>
    </row>
    <row r="198" spans="1:9" x14ac:dyDescent="0.3">
      <c r="D198" t="s">
        <v>306</v>
      </c>
      <c r="E198">
        <v>154</v>
      </c>
      <c r="F198" t="s">
        <v>304</v>
      </c>
      <c r="G198">
        <v>8581</v>
      </c>
      <c r="I198" t="s">
        <v>307</v>
      </c>
    </row>
    <row r="199" spans="1:9" x14ac:dyDescent="0.3">
      <c r="A199" t="s">
        <v>297</v>
      </c>
      <c r="B199" t="s">
        <v>308</v>
      </c>
      <c r="D199" t="s">
        <v>309</v>
      </c>
      <c r="E199">
        <v>153</v>
      </c>
      <c r="F199" t="s">
        <v>294</v>
      </c>
      <c r="G199">
        <v>8575</v>
      </c>
      <c r="I199" t="s">
        <v>309</v>
      </c>
    </row>
    <row r="200" spans="1:9" x14ac:dyDescent="0.3">
      <c r="A200" t="s">
        <v>297</v>
      </c>
      <c r="B200" t="s">
        <v>308</v>
      </c>
      <c r="D200" t="s">
        <v>301</v>
      </c>
      <c r="E200">
        <v>153</v>
      </c>
      <c r="F200" t="s">
        <v>294</v>
      </c>
      <c r="G200">
        <v>8576</v>
      </c>
      <c r="I200" t="s">
        <v>302</v>
      </c>
    </row>
    <row r="201" spans="1:9" x14ac:dyDescent="0.3">
      <c r="A201" t="s">
        <v>310</v>
      </c>
      <c r="B201" t="s">
        <v>311</v>
      </c>
      <c r="D201" t="s">
        <v>312</v>
      </c>
      <c r="E201">
        <v>152</v>
      </c>
      <c r="F201" t="s">
        <v>294</v>
      </c>
      <c r="G201">
        <v>8561</v>
      </c>
      <c r="I201" t="s">
        <v>312</v>
      </c>
    </row>
    <row r="202" spans="1:9" x14ac:dyDescent="0.3">
      <c r="A202" t="s">
        <v>310</v>
      </c>
      <c r="B202" t="s">
        <v>311</v>
      </c>
      <c r="D202" t="s">
        <v>313</v>
      </c>
      <c r="E202">
        <v>152</v>
      </c>
      <c r="F202" t="s">
        <v>294</v>
      </c>
      <c r="G202">
        <v>8562</v>
      </c>
      <c r="I202" t="s">
        <v>313</v>
      </c>
    </row>
    <row r="203" spans="1:9" x14ac:dyDescent="0.3">
      <c r="A203" t="s">
        <v>310</v>
      </c>
      <c r="B203" t="s">
        <v>311</v>
      </c>
      <c r="D203" t="s">
        <v>314</v>
      </c>
      <c r="E203">
        <v>152</v>
      </c>
      <c r="F203" t="s">
        <v>294</v>
      </c>
      <c r="G203">
        <v>8563</v>
      </c>
      <c r="I203" t="s">
        <v>314</v>
      </c>
    </row>
    <row r="204" spans="1:9" x14ac:dyDescent="0.3">
      <c r="A204" t="s">
        <v>315</v>
      </c>
      <c r="B204" t="s">
        <v>311</v>
      </c>
      <c r="D204" t="s">
        <v>316</v>
      </c>
      <c r="E204">
        <v>152</v>
      </c>
      <c r="F204" t="s">
        <v>294</v>
      </c>
      <c r="G204">
        <v>8564</v>
      </c>
      <c r="I204" t="s">
        <v>316</v>
      </c>
    </row>
    <row r="205" spans="1:9" x14ac:dyDescent="0.3">
      <c r="A205" t="s">
        <v>317</v>
      </c>
      <c r="B205" t="s">
        <v>311</v>
      </c>
      <c r="D205" t="s">
        <v>318</v>
      </c>
      <c r="E205">
        <v>152</v>
      </c>
      <c r="F205" t="s">
        <v>294</v>
      </c>
      <c r="G205">
        <v>8565</v>
      </c>
      <c r="I205" t="s">
        <v>319</v>
      </c>
    </row>
    <row r="206" spans="1:9" x14ac:dyDescent="0.3">
      <c r="A206" t="s">
        <v>315</v>
      </c>
      <c r="B206" t="s">
        <v>311</v>
      </c>
      <c r="D206" t="s">
        <v>320</v>
      </c>
      <c r="E206">
        <v>152</v>
      </c>
      <c r="F206" t="s">
        <v>294</v>
      </c>
      <c r="G206">
        <v>8566</v>
      </c>
      <c r="I206" t="s">
        <v>320</v>
      </c>
    </row>
    <row r="207" spans="1:9" x14ac:dyDescent="0.3">
      <c r="A207" t="s">
        <v>315</v>
      </c>
      <c r="B207" t="s">
        <v>311</v>
      </c>
      <c r="D207" t="s">
        <v>321</v>
      </c>
      <c r="E207">
        <v>152</v>
      </c>
      <c r="F207" t="s">
        <v>294</v>
      </c>
      <c r="G207">
        <v>8567</v>
      </c>
      <c r="I207" t="s">
        <v>321</v>
      </c>
    </row>
    <row r="208" spans="1:9" x14ac:dyDescent="0.3">
      <c r="A208" t="s">
        <v>315</v>
      </c>
      <c r="B208" t="s">
        <v>311</v>
      </c>
      <c r="D208" t="s">
        <v>322</v>
      </c>
      <c r="E208">
        <v>152</v>
      </c>
      <c r="F208" t="s">
        <v>294</v>
      </c>
      <c r="G208">
        <v>8568</v>
      </c>
      <c r="I208" t="s">
        <v>322</v>
      </c>
    </row>
    <row r="209" spans="1:9" x14ac:dyDescent="0.3">
      <c r="A209" t="s">
        <v>315</v>
      </c>
      <c r="B209" t="s">
        <v>311</v>
      </c>
      <c r="D209" t="s">
        <v>323</v>
      </c>
      <c r="E209">
        <v>152</v>
      </c>
      <c r="F209" t="s">
        <v>294</v>
      </c>
      <c r="G209">
        <v>8569</v>
      </c>
      <c r="I209" t="s">
        <v>323</v>
      </c>
    </row>
    <row r="210" spans="1:9" x14ac:dyDescent="0.3">
      <c r="A210" t="s">
        <v>315</v>
      </c>
      <c r="B210" t="s">
        <v>311</v>
      </c>
      <c r="D210" t="s">
        <v>324</v>
      </c>
      <c r="E210">
        <v>152</v>
      </c>
      <c r="F210" t="s">
        <v>294</v>
      </c>
      <c r="G210">
        <v>8570</v>
      </c>
      <c r="I210" t="s">
        <v>324</v>
      </c>
    </row>
    <row r="211" spans="1:9" x14ac:dyDescent="0.3">
      <c r="A211" t="s">
        <v>315</v>
      </c>
      <c r="B211" t="s">
        <v>311</v>
      </c>
      <c r="D211" t="s">
        <v>325</v>
      </c>
      <c r="E211">
        <v>152</v>
      </c>
      <c r="F211" t="s">
        <v>294</v>
      </c>
      <c r="G211">
        <v>8571</v>
      </c>
      <c r="I211" t="s">
        <v>325</v>
      </c>
    </row>
    <row r="212" spans="1:9" x14ac:dyDescent="0.3">
      <c r="A212" t="s">
        <v>326</v>
      </c>
      <c r="B212" t="s">
        <v>327</v>
      </c>
      <c r="D212" t="s">
        <v>263</v>
      </c>
      <c r="E212">
        <v>151</v>
      </c>
      <c r="F212" t="s">
        <v>201</v>
      </c>
      <c r="G212">
        <v>8550</v>
      </c>
      <c r="I212" t="s">
        <v>280</v>
      </c>
    </row>
    <row r="213" spans="1:9" x14ac:dyDescent="0.3">
      <c r="A213" t="s">
        <v>326</v>
      </c>
      <c r="B213" t="s">
        <v>327</v>
      </c>
      <c r="D213" t="s">
        <v>265</v>
      </c>
      <c r="E213">
        <v>151</v>
      </c>
      <c r="F213" t="s">
        <v>204</v>
      </c>
      <c r="G213">
        <v>8551</v>
      </c>
      <c r="I213" t="s">
        <v>281</v>
      </c>
    </row>
    <row r="214" spans="1:9" x14ac:dyDescent="0.3">
      <c r="A214" t="s">
        <v>326</v>
      </c>
      <c r="B214" t="s">
        <v>327</v>
      </c>
      <c r="D214" t="s">
        <v>267</v>
      </c>
      <c r="E214">
        <v>151</v>
      </c>
      <c r="F214" t="s">
        <v>207</v>
      </c>
      <c r="G214">
        <v>8552</v>
      </c>
      <c r="I214" t="s">
        <v>282</v>
      </c>
    </row>
    <row r="215" spans="1:9" x14ac:dyDescent="0.3">
      <c r="A215" t="s">
        <v>326</v>
      </c>
      <c r="B215" t="s">
        <v>327</v>
      </c>
      <c r="D215" t="s">
        <v>269</v>
      </c>
      <c r="E215">
        <v>151</v>
      </c>
      <c r="F215" t="s">
        <v>210</v>
      </c>
      <c r="G215">
        <v>8553</v>
      </c>
      <c r="I215" t="s">
        <v>283</v>
      </c>
    </row>
    <row r="216" spans="1:9" x14ac:dyDescent="0.3">
      <c r="A216" t="s">
        <v>326</v>
      </c>
      <c r="B216" t="s">
        <v>327</v>
      </c>
      <c r="D216" t="s">
        <v>271</v>
      </c>
      <c r="E216">
        <v>151</v>
      </c>
      <c r="F216" t="s">
        <v>213</v>
      </c>
      <c r="G216">
        <v>8554</v>
      </c>
      <c r="I216" t="s">
        <v>284</v>
      </c>
    </row>
    <row r="217" spans="1:9" x14ac:dyDescent="0.3">
      <c r="A217" t="s">
        <v>326</v>
      </c>
      <c r="B217" t="s">
        <v>327</v>
      </c>
      <c r="D217" t="s">
        <v>273</v>
      </c>
      <c r="E217">
        <v>151</v>
      </c>
      <c r="F217" t="s">
        <v>216</v>
      </c>
      <c r="G217">
        <v>8555</v>
      </c>
      <c r="I217" t="s">
        <v>285</v>
      </c>
    </row>
    <row r="218" spans="1:9" x14ac:dyDescent="0.3">
      <c r="A218" t="s">
        <v>326</v>
      </c>
      <c r="B218" t="s">
        <v>327</v>
      </c>
      <c r="D218" t="s">
        <v>275</v>
      </c>
      <c r="E218">
        <v>151</v>
      </c>
      <c r="F218" t="s">
        <v>219</v>
      </c>
      <c r="G218">
        <v>8556</v>
      </c>
      <c r="I218" t="s">
        <v>286</v>
      </c>
    </row>
    <row r="219" spans="1:9" x14ac:dyDescent="0.3">
      <c r="A219" t="s">
        <v>326</v>
      </c>
      <c r="B219" t="s">
        <v>327</v>
      </c>
      <c r="D219" t="s">
        <v>287</v>
      </c>
      <c r="E219">
        <v>151</v>
      </c>
      <c r="F219" t="s">
        <v>222</v>
      </c>
      <c r="G219">
        <v>8557</v>
      </c>
      <c r="I219" t="s">
        <v>288</v>
      </c>
    </row>
    <row r="220" spans="1:9" x14ac:dyDescent="0.3">
      <c r="A220" t="s">
        <v>326</v>
      </c>
      <c r="B220" t="s">
        <v>327</v>
      </c>
      <c r="D220" t="s">
        <v>289</v>
      </c>
      <c r="E220">
        <v>151</v>
      </c>
      <c r="F220" t="s">
        <v>225</v>
      </c>
      <c r="G220">
        <v>8558</v>
      </c>
      <c r="I220" t="s">
        <v>290</v>
      </c>
    </row>
    <row r="221" spans="1:9" x14ac:dyDescent="0.3">
      <c r="A221" t="s">
        <v>326</v>
      </c>
      <c r="B221" t="s">
        <v>327</v>
      </c>
      <c r="D221" t="s">
        <v>277</v>
      </c>
      <c r="E221">
        <v>151</v>
      </c>
      <c r="F221" t="s">
        <v>278</v>
      </c>
      <c r="G221">
        <v>8559</v>
      </c>
      <c r="I221" t="s">
        <v>279</v>
      </c>
    </row>
    <row r="222" spans="1:9" x14ac:dyDescent="0.3">
      <c r="A222" t="s">
        <v>328</v>
      </c>
      <c r="B222" t="s">
        <v>329</v>
      </c>
      <c r="D222" t="s">
        <v>293</v>
      </c>
      <c r="E222">
        <v>147</v>
      </c>
      <c r="F222" t="s">
        <v>294</v>
      </c>
      <c r="G222">
        <v>8541</v>
      </c>
      <c r="I222" t="s">
        <v>293</v>
      </c>
    </row>
    <row r="223" spans="1:9" x14ac:dyDescent="0.3">
      <c r="A223" t="s">
        <v>328</v>
      </c>
      <c r="B223" t="s">
        <v>329</v>
      </c>
      <c r="D223" t="s">
        <v>295</v>
      </c>
      <c r="E223">
        <v>147</v>
      </c>
      <c r="F223" t="s">
        <v>294</v>
      </c>
      <c r="G223">
        <v>8542</v>
      </c>
      <c r="I223" t="s">
        <v>295</v>
      </c>
    </row>
    <row r="224" spans="1:9" x14ac:dyDescent="0.3">
      <c r="A224" t="s">
        <v>328</v>
      </c>
      <c r="B224" t="s">
        <v>329</v>
      </c>
      <c r="D224" t="s">
        <v>296</v>
      </c>
      <c r="E224">
        <v>147</v>
      </c>
      <c r="F224" t="s">
        <v>294</v>
      </c>
      <c r="G224">
        <v>8543</v>
      </c>
      <c r="I224" t="s">
        <v>296</v>
      </c>
    </row>
    <row r="225" spans="1:9" x14ac:dyDescent="0.3">
      <c r="A225" t="s">
        <v>330</v>
      </c>
      <c r="B225" t="s">
        <v>331</v>
      </c>
      <c r="D225" t="s">
        <v>293</v>
      </c>
      <c r="E225">
        <v>146</v>
      </c>
      <c r="F225" t="s">
        <v>294</v>
      </c>
      <c r="G225">
        <v>8544</v>
      </c>
      <c r="I225" t="s">
        <v>293</v>
      </c>
    </row>
    <row r="226" spans="1:9" x14ac:dyDescent="0.3">
      <c r="A226" t="s">
        <v>330</v>
      </c>
      <c r="B226" t="s">
        <v>331</v>
      </c>
      <c r="D226" t="s">
        <v>295</v>
      </c>
      <c r="E226">
        <v>146</v>
      </c>
      <c r="F226" t="s">
        <v>294</v>
      </c>
      <c r="G226">
        <v>8545</v>
      </c>
      <c r="I226" t="s">
        <v>295</v>
      </c>
    </row>
    <row r="227" spans="1:9" x14ac:dyDescent="0.3">
      <c r="A227" t="s">
        <v>330</v>
      </c>
      <c r="B227" t="s">
        <v>331</v>
      </c>
      <c r="D227" t="s">
        <v>296</v>
      </c>
      <c r="E227">
        <v>146</v>
      </c>
      <c r="F227" t="s">
        <v>294</v>
      </c>
      <c r="G227">
        <v>8546</v>
      </c>
      <c r="I227" t="s">
        <v>296</v>
      </c>
    </row>
    <row r="228" spans="1:9" x14ac:dyDescent="0.3">
      <c r="A228" t="s">
        <v>332</v>
      </c>
      <c r="B228" t="s">
        <v>327</v>
      </c>
      <c r="D228" t="s">
        <v>200</v>
      </c>
      <c r="E228">
        <v>145</v>
      </c>
      <c r="F228" t="s">
        <v>201</v>
      </c>
      <c r="G228">
        <v>8420</v>
      </c>
      <c r="I228" t="s">
        <v>202</v>
      </c>
    </row>
    <row r="229" spans="1:9" x14ac:dyDescent="0.3">
      <c r="A229" t="s">
        <v>332</v>
      </c>
      <c r="B229" t="s">
        <v>327</v>
      </c>
      <c r="D229" t="s">
        <v>209</v>
      </c>
      <c r="E229">
        <v>145</v>
      </c>
      <c r="F229" t="s">
        <v>210</v>
      </c>
      <c r="G229">
        <v>8421</v>
      </c>
      <c r="I229" t="s">
        <v>211</v>
      </c>
    </row>
    <row r="230" spans="1:9" x14ac:dyDescent="0.3">
      <c r="A230" t="s">
        <v>332</v>
      </c>
      <c r="B230" t="s">
        <v>327</v>
      </c>
      <c r="D230" t="s">
        <v>227</v>
      </c>
      <c r="E230">
        <v>145</v>
      </c>
      <c r="F230" t="s">
        <v>201</v>
      </c>
      <c r="G230">
        <v>8422</v>
      </c>
      <c r="I230" t="s">
        <v>228</v>
      </c>
    </row>
    <row r="231" spans="1:9" x14ac:dyDescent="0.3">
      <c r="A231" t="s">
        <v>332</v>
      </c>
      <c r="B231" t="s">
        <v>327</v>
      </c>
      <c r="D231" t="s">
        <v>233</v>
      </c>
      <c r="E231">
        <v>145</v>
      </c>
      <c r="F231" t="s">
        <v>210</v>
      </c>
      <c r="G231">
        <v>8423</v>
      </c>
      <c r="I231" t="s">
        <v>234</v>
      </c>
    </row>
    <row r="232" spans="1:9" x14ac:dyDescent="0.3">
      <c r="A232" t="s">
        <v>332</v>
      </c>
      <c r="B232" t="s">
        <v>327</v>
      </c>
      <c r="D232" t="s">
        <v>245</v>
      </c>
      <c r="E232">
        <v>145</v>
      </c>
      <c r="F232" t="s">
        <v>201</v>
      </c>
      <c r="G232">
        <v>8424</v>
      </c>
      <c r="I232" t="s">
        <v>246</v>
      </c>
    </row>
    <row r="233" spans="1:9" x14ac:dyDescent="0.3">
      <c r="A233" t="s">
        <v>332</v>
      </c>
      <c r="B233" t="s">
        <v>327</v>
      </c>
      <c r="D233" t="s">
        <v>251</v>
      </c>
      <c r="E233">
        <v>145</v>
      </c>
      <c r="F233" t="s">
        <v>210</v>
      </c>
      <c r="G233">
        <v>8425</v>
      </c>
      <c r="I233" t="s">
        <v>252</v>
      </c>
    </row>
    <row r="234" spans="1:9" x14ac:dyDescent="0.3">
      <c r="A234" t="s">
        <v>332</v>
      </c>
      <c r="B234" t="s">
        <v>327</v>
      </c>
      <c r="D234" t="s">
        <v>263</v>
      </c>
      <c r="E234">
        <v>145</v>
      </c>
      <c r="F234" t="s">
        <v>201</v>
      </c>
      <c r="G234">
        <v>8426</v>
      </c>
      <c r="I234" t="s">
        <v>264</v>
      </c>
    </row>
    <row r="235" spans="1:9" x14ac:dyDescent="0.3">
      <c r="A235" t="s">
        <v>332</v>
      </c>
      <c r="B235" t="s">
        <v>327</v>
      </c>
      <c r="D235" t="s">
        <v>269</v>
      </c>
      <c r="E235">
        <v>145</v>
      </c>
      <c r="F235" t="s">
        <v>210</v>
      </c>
      <c r="G235">
        <v>8427</v>
      </c>
      <c r="I235" t="s">
        <v>270</v>
      </c>
    </row>
    <row r="236" spans="1:9" x14ac:dyDescent="0.3">
      <c r="A236" t="s">
        <v>333</v>
      </c>
      <c r="B236" t="s">
        <v>334</v>
      </c>
      <c r="D236" t="s">
        <v>200</v>
      </c>
      <c r="E236">
        <v>144</v>
      </c>
      <c r="F236" t="s">
        <v>201</v>
      </c>
      <c r="G236">
        <v>8498</v>
      </c>
      <c r="I236" t="s">
        <v>202</v>
      </c>
    </row>
    <row r="237" spans="1:9" x14ac:dyDescent="0.3">
      <c r="A237" t="s">
        <v>333</v>
      </c>
      <c r="B237" t="s">
        <v>334</v>
      </c>
      <c r="D237" t="s">
        <v>203</v>
      </c>
      <c r="E237">
        <v>144</v>
      </c>
      <c r="F237" t="s">
        <v>204</v>
      </c>
      <c r="G237">
        <v>8499</v>
      </c>
      <c r="I237" t="s">
        <v>205</v>
      </c>
    </row>
    <row r="238" spans="1:9" x14ac:dyDescent="0.3">
      <c r="A238" t="s">
        <v>333</v>
      </c>
      <c r="B238" t="s">
        <v>334</v>
      </c>
      <c r="D238" t="s">
        <v>206</v>
      </c>
      <c r="E238">
        <v>144</v>
      </c>
      <c r="F238" t="s">
        <v>207</v>
      </c>
      <c r="G238">
        <v>8500</v>
      </c>
      <c r="I238" t="s">
        <v>208</v>
      </c>
    </row>
    <row r="239" spans="1:9" x14ac:dyDescent="0.3">
      <c r="A239" t="s">
        <v>333</v>
      </c>
      <c r="B239" t="s">
        <v>334</v>
      </c>
      <c r="D239" t="s">
        <v>209</v>
      </c>
      <c r="E239">
        <v>144</v>
      </c>
      <c r="F239" t="s">
        <v>210</v>
      </c>
      <c r="G239">
        <v>8501</v>
      </c>
      <c r="I239" t="s">
        <v>211</v>
      </c>
    </row>
    <row r="240" spans="1:9" x14ac:dyDescent="0.3">
      <c r="A240" t="s">
        <v>333</v>
      </c>
      <c r="B240" t="s">
        <v>334</v>
      </c>
      <c r="D240" t="s">
        <v>212</v>
      </c>
      <c r="E240">
        <v>144</v>
      </c>
      <c r="F240" t="s">
        <v>213</v>
      </c>
      <c r="G240">
        <v>8502</v>
      </c>
      <c r="I240" t="s">
        <v>214</v>
      </c>
    </row>
    <row r="241" spans="1:9" x14ac:dyDescent="0.3">
      <c r="A241" t="s">
        <v>333</v>
      </c>
      <c r="B241" t="s">
        <v>334</v>
      </c>
      <c r="D241" t="s">
        <v>215</v>
      </c>
      <c r="E241">
        <v>144</v>
      </c>
      <c r="F241" t="s">
        <v>216</v>
      </c>
      <c r="G241">
        <v>8503</v>
      </c>
      <c r="I241" t="s">
        <v>217</v>
      </c>
    </row>
    <row r="242" spans="1:9" x14ac:dyDescent="0.3">
      <c r="A242" t="s">
        <v>333</v>
      </c>
      <c r="B242" t="s">
        <v>334</v>
      </c>
      <c r="D242" t="s">
        <v>218</v>
      </c>
      <c r="E242">
        <v>144</v>
      </c>
      <c r="F242" t="s">
        <v>219</v>
      </c>
      <c r="G242">
        <v>8504</v>
      </c>
      <c r="I242" t="s">
        <v>220</v>
      </c>
    </row>
    <row r="243" spans="1:9" x14ac:dyDescent="0.3">
      <c r="A243" t="s">
        <v>333</v>
      </c>
      <c r="B243" t="s">
        <v>334</v>
      </c>
      <c r="D243" t="s">
        <v>221</v>
      </c>
      <c r="E243">
        <v>144</v>
      </c>
      <c r="F243" t="s">
        <v>222</v>
      </c>
      <c r="G243">
        <v>8505</v>
      </c>
      <c r="I243" t="s">
        <v>223</v>
      </c>
    </row>
    <row r="244" spans="1:9" x14ac:dyDescent="0.3">
      <c r="A244" t="s">
        <v>333</v>
      </c>
      <c r="B244" t="s">
        <v>334</v>
      </c>
      <c r="D244" t="s">
        <v>224</v>
      </c>
      <c r="E244">
        <v>144</v>
      </c>
      <c r="F244" t="s">
        <v>225</v>
      </c>
      <c r="G244">
        <v>8506</v>
      </c>
      <c r="I244" t="s">
        <v>226</v>
      </c>
    </row>
    <row r="245" spans="1:9" x14ac:dyDescent="0.3">
      <c r="A245" t="s">
        <v>333</v>
      </c>
      <c r="B245" t="s">
        <v>334</v>
      </c>
      <c r="D245" t="s">
        <v>227</v>
      </c>
      <c r="E245">
        <v>144</v>
      </c>
      <c r="F245" t="s">
        <v>201</v>
      </c>
      <c r="G245">
        <v>8507</v>
      </c>
      <c r="I245" t="s">
        <v>228</v>
      </c>
    </row>
    <row r="246" spans="1:9" x14ac:dyDescent="0.3">
      <c r="A246" t="s">
        <v>333</v>
      </c>
      <c r="B246" t="s">
        <v>334</v>
      </c>
      <c r="D246" t="s">
        <v>229</v>
      </c>
      <c r="E246">
        <v>144</v>
      </c>
      <c r="F246" t="s">
        <v>204</v>
      </c>
      <c r="G246">
        <v>8508</v>
      </c>
      <c r="I246" t="s">
        <v>230</v>
      </c>
    </row>
    <row r="247" spans="1:9" x14ac:dyDescent="0.3">
      <c r="A247" t="s">
        <v>333</v>
      </c>
      <c r="B247" t="s">
        <v>334</v>
      </c>
      <c r="D247" t="s">
        <v>231</v>
      </c>
      <c r="E247">
        <v>144</v>
      </c>
      <c r="F247" t="s">
        <v>207</v>
      </c>
      <c r="G247">
        <v>8509</v>
      </c>
      <c r="I247" t="s">
        <v>232</v>
      </c>
    </row>
    <row r="248" spans="1:9" x14ac:dyDescent="0.3">
      <c r="A248" t="s">
        <v>333</v>
      </c>
      <c r="B248" t="s">
        <v>334</v>
      </c>
      <c r="D248" t="s">
        <v>233</v>
      </c>
      <c r="E248">
        <v>144</v>
      </c>
      <c r="F248" t="s">
        <v>210</v>
      </c>
      <c r="G248">
        <v>8510</v>
      </c>
      <c r="I248" t="s">
        <v>234</v>
      </c>
    </row>
    <row r="249" spans="1:9" x14ac:dyDescent="0.3">
      <c r="A249" t="s">
        <v>333</v>
      </c>
      <c r="B249" t="s">
        <v>334</v>
      </c>
      <c r="D249" t="s">
        <v>235</v>
      </c>
      <c r="E249">
        <v>144</v>
      </c>
      <c r="F249" t="s">
        <v>213</v>
      </c>
      <c r="G249">
        <v>8511</v>
      </c>
      <c r="I249" t="s">
        <v>236</v>
      </c>
    </row>
    <row r="250" spans="1:9" x14ac:dyDescent="0.3">
      <c r="A250" t="s">
        <v>333</v>
      </c>
      <c r="B250" t="s">
        <v>334</v>
      </c>
      <c r="D250" t="s">
        <v>237</v>
      </c>
      <c r="E250">
        <v>144</v>
      </c>
      <c r="F250" t="s">
        <v>216</v>
      </c>
      <c r="G250">
        <v>8512</v>
      </c>
      <c r="I250" t="s">
        <v>238</v>
      </c>
    </row>
    <row r="251" spans="1:9" x14ac:dyDescent="0.3">
      <c r="A251" t="s">
        <v>333</v>
      </c>
      <c r="B251" t="s">
        <v>334</v>
      </c>
      <c r="D251" t="s">
        <v>239</v>
      </c>
      <c r="E251">
        <v>144</v>
      </c>
      <c r="F251" t="s">
        <v>219</v>
      </c>
      <c r="G251">
        <v>8513</v>
      </c>
      <c r="I251" t="s">
        <v>240</v>
      </c>
    </row>
    <row r="252" spans="1:9" x14ac:dyDescent="0.3">
      <c r="A252" t="s">
        <v>333</v>
      </c>
      <c r="B252" t="s">
        <v>334</v>
      </c>
      <c r="D252" t="s">
        <v>241</v>
      </c>
      <c r="E252">
        <v>144</v>
      </c>
      <c r="F252" t="s">
        <v>222</v>
      </c>
      <c r="G252">
        <v>8514</v>
      </c>
      <c r="I252" t="s">
        <v>242</v>
      </c>
    </row>
    <row r="253" spans="1:9" x14ac:dyDescent="0.3">
      <c r="A253" t="s">
        <v>333</v>
      </c>
      <c r="B253" t="s">
        <v>334</v>
      </c>
      <c r="D253" t="s">
        <v>243</v>
      </c>
      <c r="E253">
        <v>144</v>
      </c>
      <c r="F253" t="s">
        <v>225</v>
      </c>
      <c r="G253">
        <v>8515</v>
      </c>
      <c r="I253" t="s">
        <v>244</v>
      </c>
    </row>
    <row r="254" spans="1:9" x14ac:dyDescent="0.3">
      <c r="A254" t="s">
        <v>333</v>
      </c>
      <c r="B254" t="s">
        <v>334</v>
      </c>
      <c r="D254" t="s">
        <v>245</v>
      </c>
      <c r="E254">
        <v>144</v>
      </c>
      <c r="F254" t="s">
        <v>201</v>
      </c>
      <c r="G254">
        <v>8516</v>
      </c>
      <c r="I254" t="s">
        <v>246</v>
      </c>
    </row>
    <row r="255" spans="1:9" x14ac:dyDescent="0.3">
      <c r="A255" t="s">
        <v>333</v>
      </c>
      <c r="B255" t="s">
        <v>334</v>
      </c>
      <c r="D255" t="s">
        <v>247</v>
      </c>
      <c r="E255">
        <v>144</v>
      </c>
      <c r="F255" t="s">
        <v>204</v>
      </c>
      <c r="G255">
        <v>8517</v>
      </c>
      <c r="I255" t="s">
        <v>248</v>
      </c>
    </row>
    <row r="256" spans="1:9" x14ac:dyDescent="0.3">
      <c r="A256" t="s">
        <v>333</v>
      </c>
      <c r="B256" t="s">
        <v>334</v>
      </c>
      <c r="D256" t="s">
        <v>249</v>
      </c>
      <c r="E256">
        <v>144</v>
      </c>
      <c r="F256" t="s">
        <v>207</v>
      </c>
      <c r="G256">
        <v>8518</v>
      </c>
      <c r="I256" t="s">
        <v>250</v>
      </c>
    </row>
    <row r="257" spans="1:9" x14ac:dyDescent="0.3">
      <c r="A257" t="s">
        <v>333</v>
      </c>
      <c r="B257" t="s">
        <v>334</v>
      </c>
      <c r="D257" t="s">
        <v>251</v>
      </c>
      <c r="E257">
        <v>144</v>
      </c>
      <c r="F257" t="s">
        <v>210</v>
      </c>
      <c r="G257">
        <v>8519</v>
      </c>
      <c r="I257" t="s">
        <v>252</v>
      </c>
    </row>
    <row r="258" spans="1:9" x14ac:dyDescent="0.3">
      <c r="A258" t="s">
        <v>333</v>
      </c>
      <c r="B258" t="s">
        <v>334</v>
      </c>
      <c r="D258" t="s">
        <v>253</v>
      </c>
      <c r="E258">
        <v>144</v>
      </c>
      <c r="F258" t="s">
        <v>213</v>
      </c>
      <c r="G258">
        <v>8520</v>
      </c>
      <c r="I258" t="s">
        <v>254</v>
      </c>
    </row>
    <row r="259" spans="1:9" x14ac:dyDescent="0.3">
      <c r="A259" t="s">
        <v>333</v>
      </c>
      <c r="B259" t="s">
        <v>334</v>
      </c>
      <c r="D259" t="s">
        <v>255</v>
      </c>
      <c r="E259">
        <v>144</v>
      </c>
      <c r="F259" t="s">
        <v>216</v>
      </c>
      <c r="G259">
        <v>8521</v>
      </c>
      <c r="I259" t="s">
        <v>256</v>
      </c>
    </row>
    <row r="260" spans="1:9" x14ac:dyDescent="0.3">
      <c r="A260" t="s">
        <v>333</v>
      </c>
      <c r="B260" t="s">
        <v>334</v>
      </c>
      <c r="D260" t="s">
        <v>257</v>
      </c>
      <c r="E260">
        <v>144</v>
      </c>
      <c r="F260" t="s">
        <v>219</v>
      </c>
      <c r="G260">
        <v>8522</v>
      </c>
      <c r="I260" t="s">
        <v>258</v>
      </c>
    </row>
    <row r="261" spans="1:9" x14ac:dyDescent="0.3">
      <c r="A261" t="s">
        <v>333</v>
      </c>
      <c r="B261" t="s">
        <v>334</v>
      </c>
      <c r="D261" t="s">
        <v>259</v>
      </c>
      <c r="E261">
        <v>144</v>
      </c>
      <c r="F261" t="s">
        <v>222</v>
      </c>
      <c r="G261">
        <v>8523</v>
      </c>
      <c r="I261" t="s">
        <v>260</v>
      </c>
    </row>
    <row r="262" spans="1:9" x14ac:dyDescent="0.3">
      <c r="A262" t="s">
        <v>333</v>
      </c>
      <c r="B262" t="s">
        <v>334</v>
      </c>
      <c r="D262" t="s">
        <v>261</v>
      </c>
      <c r="E262">
        <v>144</v>
      </c>
      <c r="F262" t="s">
        <v>225</v>
      </c>
      <c r="G262">
        <v>8524</v>
      </c>
      <c r="I262" t="s">
        <v>262</v>
      </c>
    </row>
    <row r="263" spans="1:9" x14ac:dyDescent="0.3">
      <c r="A263" t="s">
        <v>333</v>
      </c>
      <c r="B263" t="s">
        <v>334</v>
      </c>
      <c r="D263" t="s">
        <v>263</v>
      </c>
      <c r="E263">
        <v>144</v>
      </c>
      <c r="F263" t="s">
        <v>201</v>
      </c>
      <c r="G263">
        <v>8525</v>
      </c>
      <c r="I263" t="s">
        <v>264</v>
      </c>
    </row>
    <row r="264" spans="1:9" x14ac:dyDescent="0.3">
      <c r="A264" t="s">
        <v>333</v>
      </c>
      <c r="B264" t="s">
        <v>334</v>
      </c>
      <c r="D264" t="s">
        <v>265</v>
      </c>
      <c r="E264">
        <v>144</v>
      </c>
      <c r="F264" t="s">
        <v>204</v>
      </c>
      <c r="G264">
        <v>8526</v>
      </c>
      <c r="I264" t="s">
        <v>266</v>
      </c>
    </row>
    <row r="265" spans="1:9" x14ac:dyDescent="0.3">
      <c r="A265" t="s">
        <v>333</v>
      </c>
      <c r="B265" t="s">
        <v>334</v>
      </c>
      <c r="D265" t="s">
        <v>267</v>
      </c>
      <c r="E265">
        <v>144</v>
      </c>
      <c r="F265" t="s">
        <v>207</v>
      </c>
      <c r="G265">
        <v>8527</v>
      </c>
      <c r="I265" t="s">
        <v>268</v>
      </c>
    </row>
    <row r="266" spans="1:9" x14ac:dyDescent="0.3">
      <c r="A266" t="s">
        <v>333</v>
      </c>
      <c r="B266" t="s">
        <v>334</v>
      </c>
      <c r="D266" t="s">
        <v>269</v>
      </c>
      <c r="E266">
        <v>144</v>
      </c>
      <c r="F266" t="s">
        <v>210</v>
      </c>
      <c r="G266">
        <v>8528</v>
      </c>
      <c r="I266" t="s">
        <v>270</v>
      </c>
    </row>
    <row r="267" spans="1:9" x14ac:dyDescent="0.3">
      <c r="A267" t="s">
        <v>333</v>
      </c>
      <c r="B267" t="s">
        <v>334</v>
      </c>
      <c r="D267" t="s">
        <v>271</v>
      </c>
      <c r="E267">
        <v>144</v>
      </c>
      <c r="F267" t="s">
        <v>213</v>
      </c>
      <c r="G267">
        <v>8529</v>
      </c>
      <c r="I267" t="s">
        <v>272</v>
      </c>
    </row>
    <row r="268" spans="1:9" x14ac:dyDescent="0.3">
      <c r="A268" t="s">
        <v>333</v>
      </c>
      <c r="B268" t="s">
        <v>334</v>
      </c>
      <c r="D268" t="s">
        <v>273</v>
      </c>
      <c r="E268">
        <v>144</v>
      </c>
      <c r="F268" t="s">
        <v>216</v>
      </c>
      <c r="G268">
        <v>8530</v>
      </c>
      <c r="I268" t="s">
        <v>274</v>
      </c>
    </row>
    <row r="269" spans="1:9" x14ac:dyDescent="0.3">
      <c r="A269" t="s">
        <v>333</v>
      </c>
      <c r="B269" t="s">
        <v>334</v>
      </c>
      <c r="D269" t="s">
        <v>275</v>
      </c>
      <c r="E269">
        <v>144</v>
      </c>
      <c r="F269" t="s">
        <v>219</v>
      </c>
      <c r="G269">
        <v>8531</v>
      </c>
      <c r="I269" t="s">
        <v>276</v>
      </c>
    </row>
    <row r="270" spans="1:9" x14ac:dyDescent="0.3">
      <c r="A270" t="s">
        <v>333</v>
      </c>
      <c r="B270" t="s">
        <v>334</v>
      </c>
      <c r="D270" t="s">
        <v>277</v>
      </c>
      <c r="E270">
        <v>144</v>
      </c>
      <c r="F270" t="s">
        <v>278</v>
      </c>
      <c r="G270">
        <v>8532</v>
      </c>
      <c r="I270" t="s">
        <v>279</v>
      </c>
    </row>
    <row r="271" spans="1:9" x14ac:dyDescent="0.3">
      <c r="A271" t="s">
        <v>335</v>
      </c>
      <c r="B271" t="s">
        <v>327</v>
      </c>
      <c r="D271" t="s">
        <v>200</v>
      </c>
      <c r="E271">
        <v>143</v>
      </c>
      <c r="F271" t="s">
        <v>201</v>
      </c>
      <c r="G271">
        <v>8463</v>
      </c>
      <c r="I271" t="s">
        <v>202</v>
      </c>
    </row>
    <row r="272" spans="1:9" x14ac:dyDescent="0.3">
      <c r="A272" t="s">
        <v>335</v>
      </c>
      <c r="B272" t="s">
        <v>327</v>
      </c>
      <c r="D272" t="s">
        <v>203</v>
      </c>
      <c r="E272">
        <v>143</v>
      </c>
      <c r="F272" t="s">
        <v>204</v>
      </c>
      <c r="G272">
        <v>8464</v>
      </c>
      <c r="I272" t="s">
        <v>205</v>
      </c>
    </row>
    <row r="273" spans="1:9" x14ac:dyDescent="0.3">
      <c r="A273" t="s">
        <v>335</v>
      </c>
      <c r="B273" t="s">
        <v>327</v>
      </c>
      <c r="D273" t="s">
        <v>206</v>
      </c>
      <c r="E273">
        <v>143</v>
      </c>
      <c r="F273" t="s">
        <v>207</v>
      </c>
      <c r="G273">
        <v>8465</v>
      </c>
      <c r="I273" t="s">
        <v>208</v>
      </c>
    </row>
    <row r="274" spans="1:9" x14ac:dyDescent="0.3">
      <c r="A274" t="s">
        <v>335</v>
      </c>
      <c r="B274" t="s">
        <v>327</v>
      </c>
      <c r="D274" t="s">
        <v>209</v>
      </c>
      <c r="E274">
        <v>143</v>
      </c>
      <c r="F274" t="s">
        <v>210</v>
      </c>
      <c r="G274">
        <v>8466</v>
      </c>
      <c r="I274" t="s">
        <v>211</v>
      </c>
    </row>
    <row r="275" spans="1:9" x14ac:dyDescent="0.3">
      <c r="A275" t="s">
        <v>335</v>
      </c>
      <c r="B275" t="s">
        <v>327</v>
      </c>
      <c r="D275" t="s">
        <v>212</v>
      </c>
      <c r="E275">
        <v>143</v>
      </c>
      <c r="F275" t="s">
        <v>213</v>
      </c>
      <c r="G275">
        <v>8467</v>
      </c>
      <c r="I275" t="s">
        <v>214</v>
      </c>
    </row>
    <row r="276" spans="1:9" x14ac:dyDescent="0.3">
      <c r="A276" t="s">
        <v>335</v>
      </c>
      <c r="B276" t="s">
        <v>327</v>
      </c>
      <c r="D276" t="s">
        <v>215</v>
      </c>
      <c r="E276">
        <v>143</v>
      </c>
      <c r="F276" t="s">
        <v>216</v>
      </c>
      <c r="G276">
        <v>8468</v>
      </c>
      <c r="I276" t="s">
        <v>217</v>
      </c>
    </row>
    <row r="277" spans="1:9" x14ac:dyDescent="0.3">
      <c r="A277" t="s">
        <v>335</v>
      </c>
      <c r="B277" t="s">
        <v>327</v>
      </c>
      <c r="D277" t="s">
        <v>218</v>
      </c>
      <c r="E277">
        <v>143</v>
      </c>
      <c r="F277" t="s">
        <v>219</v>
      </c>
      <c r="G277">
        <v>8469</v>
      </c>
      <c r="I277" t="s">
        <v>220</v>
      </c>
    </row>
    <row r="278" spans="1:9" x14ac:dyDescent="0.3">
      <c r="A278" t="s">
        <v>335</v>
      </c>
      <c r="B278" t="s">
        <v>327</v>
      </c>
      <c r="D278" t="s">
        <v>221</v>
      </c>
      <c r="E278">
        <v>143</v>
      </c>
      <c r="F278" t="s">
        <v>222</v>
      </c>
      <c r="G278">
        <v>8470</v>
      </c>
      <c r="I278" t="s">
        <v>223</v>
      </c>
    </row>
    <row r="279" spans="1:9" x14ac:dyDescent="0.3">
      <c r="A279" t="s">
        <v>335</v>
      </c>
      <c r="B279" t="s">
        <v>327</v>
      </c>
      <c r="D279" t="s">
        <v>224</v>
      </c>
      <c r="E279">
        <v>143</v>
      </c>
      <c r="F279" t="s">
        <v>225</v>
      </c>
      <c r="G279">
        <v>8471</v>
      </c>
      <c r="I279" t="s">
        <v>226</v>
      </c>
    </row>
    <row r="280" spans="1:9" x14ac:dyDescent="0.3">
      <c r="A280" t="s">
        <v>335</v>
      </c>
      <c r="B280" t="s">
        <v>327</v>
      </c>
      <c r="D280" t="s">
        <v>227</v>
      </c>
      <c r="E280">
        <v>143</v>
      </c>
      <c r="F280" t="s">
        <v>201</v>
      </c>
      <c r="G280">
        <v>8472</v>
      </c>
      <c r="I280" t="s">
        <v>228</v>
      </c>
    </row>
    <row r="281" spans="1:9" x14ac:dyDescent="0.3">
      <c r="A281" t="s">
        <v>335</v>
      </c>
      <c r="B281" t="s">
        <v>327</v>
      </c>
      <c r="D281" t="s">
        <v>229</v>
      </c>
      <c r="E281">
        <v>143</v>
      </c>
      <c r="F281" t="s">
        <v>204</v>
      </c>
      <c r="G281">
        <v>8473</v>
      </c>
      <c r="I281" t="s">
        <v>230</v>
      </c>
    </row>
    <row r="282" spans="1:9" x14ac:dyDescent="0.3">
      <c r="A282" t="s">
        <v>335</v>
      </c>
      <c r="B282" t="s">
        <v>327</v>
      </c>
      <c r="D282" t="s">
        <v>231</v>
      </c>
      <c r="E282">
        <v>143</v>
      </c>
      <c r="F282" t="s">
        <v>207</v>
      </c>
      <c r="G282">
        <v>8474</v>
      </c>
      <c r="I282" t="s">
        <v>232</v>
      </c>
    </row>
    <row r="283" spans="1:9" x14ac:dyDescent="0.3">
      <c r="A283" t="s">
        <v>335</v>
      </c>
      <c r="B283" t="s">
        <v>327</v>
      </c>
      <c r="D283" t="s">
        <v>233</v>
      </c>
      <c r="E283">
        <v>143</v>
      </c>
      <c r="F283" t="s">
        <v>210</v>
      </c>
      <c r="G283">
        <v>8475</v>
      </c>
      <c r="I283" t="s">
        <v>234</v>
      </c>
    </row>
    <row r="284" spans="1:9" x14ac:dyDescent="0.3">
      <c r="A284" t="s">
        <v>335</v>
      </c>
      <c r="B284" t="s">
        <v>327</v>
      </c>
      <c r="D284" t="s">
        <v>235</v>
      </c>
      <c r="E284">
        <v>143</v>
      </c>
      <c r="F284" t="s">
        <v>213</v>
      </c>
      <c r="G284">
        <v>8476</v>
      </c>
      <c r="I284" t="s">
        <v>236</v>
      </c>
    </row>
    <row r="285" spans="1:9" x14ac:dyDescent="0.3">
      <c r="A285" t="s">
        <v>335</v>
      </c>
      <c r="B285" t="s">
        <v>327</v>
      </c>
      <c r="D285" t="s">
        <v>237</v>
      </c>
      <c r="E285">
        <v>143</v>
      </c>
      <c r="F285" t="s">
        <v>216</v>
      </c>
      <c r="G285">
        <v>8477</v>
      </c>
      <c r="I285" t="s">
        <v>238</v>
      </c>
    </row>
    <row r="286" spans="1:9" x14ac:dyDescent="0.3">
      <c r="A286" t="s">
        <v>335</v>
      </c>
      <c r="B286" t="s">
        <v>327</v>
      </c>
      <c r="D286" t="s">
        <v>239</v>
      </c>
      <c r="E286">
        <v>143</v>
      </c>
      <c r="F286" t="s">
        <v>219</v>
      </c>
      <c r="G286">
        <v>8478</v>
      </c>
      <c r="I286" t="s">
        <v>240</v>
      </c>
    </row>
    <row r="287" spans="1:9" x14ac:dyDescent="0.3">
      <c r="A287" t="s">
        <v>335</v>
      </c>
      <c r="B287" t="s">
        <v>327</v>
      </c>
      <c r="D287" t="s">
        <v>241</v>
      </c>
      <c r="E287">
        <v>143</v>
      </c>
      <c r="F287" t="s">
        <v>222</v>
      </c>
      <c r="G287">
        <v>8479</v>
      </c>
      <c r="I287" t="s">
        <v>242</v>
      </c>
    </row>
    <row r="288" spans="1:9" x14ac:dyDescent="0.3">
      <c r="A288" t="s">
        <v>335</v>
      </c>
      <c r="B288" t="s">
        <v>327</v>
      </c>
      <c r="D288" t="s">
        <v>243</v>
      </c>
      <c r="E288">
        <v>143</v>
      </c>
      <c r="F288" t="s">
        <v>225</v>
      </c>
      <c r="G288">
        <v>8480</v>
      </c>
      <c r="I288" t="s">
        <v>244</v>
      </c>
    </row>
    <row r="289" spans="1:9" x14ac:dyDescent="0.3">
      <c r="A289" t="s">
        <v>335</v>
      </c>
      <c r="B289" t="s">
        <v>327</v>
      </c>
      <c r="D289" t="s">
        <v>245</v>
      </c>
      <c r="E289">
        <v>143</v>
      </c>
      <c r="F289" t="s">
        <v>201</v>
      </c>
      <c r="G289">
        <v>8481</v>
      </c>
      <c r="I289" t="s">
        <v>246</v>
      </c>
    </row>
    <row r="290" spans="1:9" x14ac:dyDescent="0.3">
      <c r="A290" t="s">
        <v>335</v>
      </c>
      <c r="B290" t="s">
        <v>327</v>
      </c>
      <c r="D290" t="s">
        <v>247</v>
      </c>
      <c r="E290">
        <v>143</v>
      </c>
      <c r="F290" t="s">
        <v>204</v>
      </c>
      <c r="G290">
        <v>8482</v>
      </c>
      <c r="I290" t="s">
        <v>248</v>
      </c>
    </row>
    <row r="291" spans="1:9" x14ac:dyDescent="0.3">
      <c r="A291" t="s">
        <v>335</v>
      </c>
      <c r="B291" t="s">
        <v>327</v>
      </c>
      <c r="D291" t="s">
        <v>249</v>
      </c>
      <c r="E291">
        <v>143</v>
      </c>
      <c r="F291" t="s">
        <v>207</v>
      </c>
      <c r="G291">
        <v>8483</v>
      </c>
      <c r="I291" t="s">
        <v>250</v>
      </c>
    </row>
    <row r="292" spans="1:9" x14ac:dyDescent="0.3">
      <c r="A292" t="s">
        <v>335</v>
      </c>
      <c r="B292" t="s">
        <v>327</v>
      </c>
      <c r="D292" t="s">
        <v>251</v>
      </c>
      <c r="E292">
        <v>143</v>
      </c>
      <c r="F292" t="s">
        <v>210</v>
      </c>
      <c r="G292">
        <v>8484</v>
      </c>
      <c r="I292" t="s">
        <v>252</v>
      </c>
    </row>
    <row r="293" spans="1:9" x14ac:dyDescent="0.3">
      <c r="A293" t="s">
        <v>335</v>
      </c>
      <c r="B293" t="s">
        <v>327</v>
      </c>
      <c r="D293" t="s">
        <v>253</v>
      </c>
      <c r="E293">
        <v>143</v>
      </c>
      <c r="F293" t="s">
        <v>213</v>
      </c>
      <c r="G293">
        <v>8485</v>
      </c>
      <c r="I293" t="s">
        <v>254</v>
      </c>
    </row>
    <row r="294" spans="1:9" x14ac:dyDescent="0.3">
      <c r="A294" t="s">
        <v>335</v>
      </c>
      <c r="B294" t="s">
        <v>327</v>
      </c>
      <c r="D294" t="s">
        <v>255</v>
      </c>
      <c r="E294">
        <v>143</v>
      </c>
      <c r="F294" t="s">
        <v>216</v>
      </c>
      <c r="G294">
        <v>8486</v>
      </c>
      <c r="I294" t="s">
        <v>256</v>
      </c>
    </row>
    <row r="295" spans="1:9" x14ac:dyDescent="0.3">
      <c r="A295" t="s">
        <v>335</v>
      </c>
      <c r="B295" t="s">
        <v>327</v>
      </c>
      <c r="D295" t="s">
        <v>257</v>
      </c>
      <c r="E295">
        <v>143</v>
      </c>
      <c r="F295" t="s">
        <v>219</v>
      </c>
      <c r="G295">
        <v>8487</v>
      </c>
      <c r="I295" t="s">
        <v>258</v>
      </c>
    </row>
    <row r="296" spans="1:9" x14ac:dyDescent="0.3">
      <c r="A296" t="s">
        <v>335</v>
      </c>
      <c r="B296" t="s">
        <v>327</v>
      </c>
      <c r="D296" t="s">
        <v>259</v>
      </c>
      <c r="E296">
        <v>143</v>
      </c>
      <c r="F296" t="s">
        <v>222</v>
      </c>
      <c r="G296">
        <v>8488</v>
      </c>
      <c r="I296" t="s">
        <v>260</v>
      </c>
    </row>
    <row r="297" spans="1:9" x14ac:dyDescent="0.3">
      <c r="A297" t="s">
        <v>335</v>
      </c>
      <c r="B297" t="s">
        <v>327</v>
      </c>
      <c r="D297" t="s">
        <v>261</v>
      </c>
      <c r="E297">
        <v>143</v>
      </c>
      <c r="F297" t="s">
        <v>225</v>
      </c>
      <c r="G297">
        <v>8489</v>
      </c>
      <c r="I297" t="s">
        <v>262</v>
      </c>
    </row>
    <row r="298" spans="1:9" x14ac:dyDescent="0.3">
      <c r="A298" t="s">
        <v>335</v>
      </c>
      <c r="B298" t="s">
        <v>327</v>
      </c>
      <c r="D298" t="s">
        <v>263</v>
      </c>
      <c r="E298">
        <v>143</v>
      </c>
      <c r="F298" t="s">
        <v>201</v>
      </c>
      <c r="G298">
        <v>8490</v>
      </c>
      <c r="I298" t="s">
        <v>264</v>
      </c>
    </row>
    <row r="299" spans="1:9" x14ac:dyDescent="0.3">
      <c r="A299" t="s">
        <v>335</v>
      </c>
      <c r="B299" t="s">
        <v>327</v>
      </c>
      <c r="D299" t="s">
        <v>265</v>
      </c>
      <c r="E299">
        <v>143</v>
      </c>
      <c r="F299" t="s">
        <v>204</v>
      </c>
      <c r="G299">
        <v>8491</v>
      </c>
      <c r="I299" t="s">
        <v>266</v>
      </c>
    </row>
    <row r="300" spans="1:9" x14ac:dyDescent="0.3">
      <c r="A300" t="s">
        <v>335</v>
      </c>
      <c r="B300" t="s">
        <v>327</v>
      </c>
      <c r="D300" t="s">
        <v>267</v>
      </c>
      <c r="E300">
        <v>143</v>
      </c>
      <c r="F300" t="s">
        <v>207</v>
      </c>
      <c r="G300">
        <v>8492</v>
      </c>
      <c r="I300" t="s">
        <v>268</v>
      </c>
    </row>
    <row r="301" spans="1:9" x14ac:dyDescent="0.3">
      <c r="A301" t="s">
        <v>335</v>
      </c>
      <c r="B301" t="s">
        <v>327</v>
      </c>
      <c r="D301" t="s">
        <v>269</v>
      </c>
      <c r="E301">
        <v>143</v>
      </c>
      <c r="F301" t="s">
        <v>210</v>
      </c>
      <c r="G301">
        <v>8493</v>
      </c>
      <c r="I301" t="s">
        <v>270</v>
      </c>
    </row>
    <row r="302" spans="1:9" x14ac:dyDescent="0.3">
      <c r="A302" t="s">
        <v>335</v>
      </c>
      <c r="B302" t="s">
        <v>327</v>
      </c>
      <c r="D302" t="s">
        <v>271</v>
      </c>
      <c r="E302">
        <v>143</v>
      </c>
      <c r="F302" t="s">
        <v>213</v>
      </c>
      <c r="G302">
        <v>8494</v>
      </c>
      <c r="I302" t="s">
        <v>272</v>
      </c>
    </row>
    <row r="303" spans="1:9" x14ac:dyDescent="0.3">
      <c r="A303" t="s">
        <v>335</v>
      </c>
      <c r="B303" t="s">
        <v>327</v>
      </c>
      <c r="D303" t="s">
        <v>273</v>
      </c>
      <c r="E303">
        <v>143</v>
      </c>
      <c r="F303" t="s">
        <v>216</v>
      </c>
      <c r="G303">
        <v>8495</v>
      </c>
      <c r="I303" t="s">
        <v>274</v>
      </c>
    </row>
    <row r="304" spans="1:9" x14ac:dyDescent="0.3">
      <c r="A304" t="s">
        <v>335</v>
      </c>
      <c r="B304" t="s">
        <v>327</v>
      </c>
      <c r="D304" t="s">
        <v>275</v>
      </c>
      <c r="E304">
        <v>143</v>
      </c>
      <c r="F304" t="s">
        <v>219</v>
      </c>
      <c r="G304">
        <v>8496</v>
      </c>
      <c r="I304" t="s">
        <v>276</v>
      </c>
    </row>
    <row r="305" spans="1:9" x14ac:dyDescent="0.3">
      <c r="A305" t="s">
        <v>335</v>
      </c>
      <c r="B305" t="s">
        <v>327</v>
      </c>
      <c r="D305" t="s">
        <v>277</v>
      </c>
      <c r="E305">
        <v>143</v>
      </c>
      <c r="F305" t="s">
        <v>278</v>
      </c>
      <c r="G305">
        <v>8497</v>
      </c>
      <c r="I305" t="s">
        <v>279</v>
      </c>
    </row>
    <row r="306" spans="1:9" x14ac:dyDescent="0.3">
      <c r="A306" t="s">
        <v>336</v>
      </c>
      <c r="B306" t="s">
        <v>327</v>
      </c>
      <c r="D306" t="s">
        <v>200</v>
      </c>
      <c r="E306">
        <v>142</v>
      </c>
      <c r="F306" t="s">
        <v>201</v>
      </c>
      <c r="G306">
        <v>8428</v>
      </c>
      <c r="I306" t="s">
        <v>202</v>
      </c>
    </row>
    <row r="307" spans="1:9" x14ac:dyDescent="0.3">
      <c r="A307" t="s">
        <v>336</v>
      </c>
      <c r="B307" t="s">
        <v>327</v>
      </c>
      <c r="D307" t="s">
        <v>203</v>
      </c>
      <c r="E307">
        <v>142</v>
      </c>
      <c r="F307" t="s">
        <v>204</v>
      </c>
      <c r="G307">
        <v>8429</v>
      </c>
      <c r="I307" t="s">
        <v>205</v>
      </c>
    </row>
    <row r="308" spans="1:9" x14ac:dyDescent="0.3">
      <c r="A308" t="s">
        <v>336</v>
      </c>
      <c r="B308" t="s">
        <v>327</v>
      </c>
      <c r="D308" t="s">
        <v>206</v>
      </c>
      <c r="E308">
        <v>142</v>
      </c>
      <c r="F308" t="s">
        <v>207</v>
      </c>
      <c r="G308">
        <v>8430</v>
      </c>
      <c r="I308" t="s">
        <v>208</v>
      </c>
    </row>
    <row r="309" spans="1:9" x14ac:dyDescent="0.3">
      <c r="A309" t="s">
        <v>336</v>
      </c>
      <c r="B309" t="s">
        <v>327</v>
      </c>
      <c r="D309" t="s">
        <v>209</v>
      </c>
      <c r="E309">
        <v>142</v>
      </c>
      <c r="F309" t="s">
        <v>210</v>
      </c>
      <c r="G309">
        <v>8431</v>
      </c>
      <c r="I309" t="s">
        <v>211</v>
      </c>
    </row>
    <row r="310" spans="1:9" x14ac:dyDescent="0.3">
      <c r="A310" t="s">
        <v>336</v>
      </c>
      <c r="B310" t="s">
        <v>327</v>
      </c>
      <c r="D310" t="s">
        <v>212</v>
      </c>
      <c r="E310">
        <v>142</v>
      </c>
      <c r="F310" t="s">
        <v>213</v>
      </c>
      <c r="G310">
        <v>8432</v>
      </c>
      <c r="I310" t="s">
        <v>214</v>
      </c>
    </row>
    <row r="311" spans="1:9" x14ac:dyDescent="0.3">
      <c r="A311" t="s">
        <v>336</v>
      </c>
      <c r="B311" t="s">
        <v>327</v>
      </c>
      <c r="D311" t="s">
        <v>215</v>
      </c>
      <c r="E311">
        <v>142</v>
      </c>
      <c r="F311" t="s">
        <v>216</v>
      </c>
      <c r="G311">
        <v>8433</v>
      </c>
      <c r="I311" t="s">
        <v>217</v>
      </c>
    </row>
    <row r="312" spans="1:9" x14ac:dyDescent="0.3">
      <c r="A312" t="s">
        <v>336</v>
      </c>
      <c r="B312" t="s">
        <v>327</v>
      </c>
      <c r="D312" t="s">
        <v>218</v>
      </c>
      <c r="E312">
        <v>142</v>
      </c>
      <c r="F312" t="s">
        <v>219</v>
      </c>
      <c r="G312">
        <v>8434</v>
      </c>
      <c r="I312" t="s">
        <v>220</v>
      </c>
    </row>
    <row r="313" spans="1:9" x14ac:dyDescent="0.3">
      <c r="A313" t="s">
        <v>336</v>
      </c>
      <c r="B313" t="s">
        <v>327</v>
      </c>
      <c r="D313" t="s">
        <v>221</v>
      </c>
      <c r="E313">
        <v>142</v>
      </c>
      <c r="F313" t="s">
        <v>222</v>
      </c>
      <c r="G313">
        <v>8435</v>
      </c>
      <c r="I313" t="s">
        <v>223</v>
      </c>
    </row>
    <row r="314" spans="1:9" x14ac:dyDescent="0.3">
      <c r="A314" t="s">
        <v>336</v>
      </c>
      <c r="B314" t="s">
        <v>327</v>
      </c>
      <c r="D314" t="s">
        <v>224</v>
      </c>
      <c r="E314">
        <v>142</v>
      </c>
      <c r="F314" t="s">
        <v>225</v>
      </c>
      <c r="G314">
        <v>8436</v>
      </c>
      <c r="I314" t="s">
        <v>226</v>
      </c>
    </row>
    <row r="315" spans="1:9" x14ac:dyDescent="0.3">
      <c r="A315" t="s">
        <v>336</v>
      </c>
      <c r="B315" t="s">
        <v>327</v>
      </c>
      <c r="D315" t="s">
        <v>227</v>
      </c>
      <c r="E315">
        <v>142</v>
      </c>
      <c r="F315" t="s">
        <v>201</v>
      </c>
      <c r="G315">
        <v>8437</v>
      </c>
      <c r="I315" t="s">
        <v>228</v>
      </c>
    </row>
    <row r="316" spans="1:9" x14ac:dyDescent="0.3">
      <c r="A316" t="s">
        <v>336</v>
      </c>
      <c r="B316" t="s">
        <v>327</v>
      </c>
      <c r="D316" t="s">
        <v>229</v>
      </c>
      <c r="E316">
        <v>142</v>
      </c>
      <c r="F316" t="s">
        <v>204</v>
      </c>
      <c r="G316">
        <v>8438</v>
      </c>
      <c r="I316" t="s">
        <v>230</v>
      </c>
    </row>
    <row r="317" spans="1:9" x14ac:dyDescent="0.3">
      <c r="A317" t="s">
        <v>336</v>
      </c>
      <c r="B317" t="s">
        <v>327</v>
      </c>
      <c r="D317" t="s">
        <v>231</v>
      </c>
      <c r="E317">
        <v>142</v>
      </c>
      <c r="F317" t="s">
        <v>207</v>
      </c>
      <c r="G317">
        <v>8439</v>
      </c>
      <c r="I317" t="s">
        <v>232</v>
      </c>
    </row>
    <row r="318" spans="1:9" x14ac:dyDescent="0.3">
      <c r="A318" t="s">
        <v>336</v>
      </c>
      <c r="B318" t="s">
        <v>327</v>
      </c>
      <c r="D318" t="s">
        <v>233</v>
      </c>
      <c r="E318">
        <v>142</v>
      </c>
      <c r="F318" t="s">
        <v>210</v>
      </c>
      <c r="G318">
        <v>8440</v>
      </c>
      <c r="I318" t="s">
        <v>234</v>
      </c>
    </row>
    <row r="319" spans="1:9" x14ac:dyDescent="0.3">
      <c r="A319" t="s">
        <v>336</v>
      </c>
      <c r="B319" t="s">
        <v>327</v>
      </c>
      <c r="D319" t="s">
        <v>235</v>
      </c>
      <c r="E319">
        <v>142</v>
      </c>
      <c r="F319" t="s">
        <v>213</v>
      </c>
      <c r="G319">
        <v>8441</v>
      </c>
      <c r="I319" t="s">
        <v>236</v>
      </c>
    </row>
    <row r="320" spans="1:9" x14ac:dyDescent="0.3">
      <c r="A320" t="s">
        <v>336</v>
      </c>
      <c r="B320" t="s">
        <v>327</v>
      </c>
      <c r="D320" t="s">
        <v>237</v>
      </c>
      <c r="E320">
        <v>142</v>
      </c>
      <c r="F320" t="s">
        <v>216</v>
      </c>
      <c r="G320">
        <v>8442</v>
      </c>
      <c r="I320" t="s">
        <v>238</v>
      </c>
    </row>
    <row r="321" spans="1:9" x14ac:dyDescent="0.3">
      <c r="A321" t="s">
        <v>336</v>
      </c>
      <c r="B321" t="s">
        <v>327</v>
      </c>
      <c r="D321" t="s">
        <v>239</v>
      </c>
      <c r="E321">
        <v>142</v>
      </c>
      <c r="F321" t="s">
        <v>219</v>
      </c>
      <c r="G321">
        <v>8443</v>
      </c>
      <c r="I321" t="s">
        <v>240</v>
      </c>
    </row>
    <row r="322" spans="1:9" x14ac:dyDescent="0.3">
      <c r="A322" t="s">
        <v>336</v>
      </c>
      <c r="B322" t="s">
        <v>327</v>
      </c>
      <c r="D322" t="s">
        <v>241</v>
      </c>
      <c r="E322">
        <v>142</v>
      </c>
      <c r="F322" t="s">
        <v>222</v>
      </c>
      <c r="G322">
        <v>8444</v>
      </c>
      <c r="I322" t="s">
        <v>242</v>
      </c>
    </row>
    <row r="323" spans="1:9" x14ac:dyDescent="0.3">
      <c r="A323" t="s">
        <v>336</v>
      </c>
      <c r="B323" t="s">
        <v>327</v>
      </c>
      <c r="D323" t="s">
        <v>243</v>
      </c>
      <c r="E323">
        <v>142</v>
      </c>
      <c r="F323" t="s">
        <v>225</v>
      </c>
      <c r="G323">
        <v>8445</v>
      </c>
      <c r="I323" t="s">
        <v>244</v>
      </c>
    </row>
    <row r="324" spans="1:9" x14ac:dyDescent="0.3">
      <c r="A324" t="s">
        <v>336</v>
      </c>
      <c r="B324" t="s">
        <v>327</v>
      </c>
      <c r="D324" t="s">
        <v>245</v>
      </c>
      <c r="E324">
        <v>142</v>
      </c>
      <c r="F324" t="s">
        <v>201</v>
      </c>
      <c r="G324">
        <v>8446</v>
      </c>
      <c r="I324" t="s">
        <v>246</v>
      </c>
    </row>
    <row r="325" spans="1:9" x14ac:dyDescent="0.3">
      <c r="A325" t="s">
        <v>336</v>
      </c>
      <c r="B325" t="s">
        <v>327</v>
      </c>
      <c r="D325" t="s">
        <v>247</v>
      </c>
      <c r="E325">
        <v>142</v>
      </c>
      <c r="F325" t="s">
        <v>204</v>
      </c>
      <c r="G325">
        <v>8447</v>
      </c>
      <c r="I325" t="s">
        <v>248</v>
      </c>
    </row>
    <row r="326" spans="1:9" x14ac:dyDescent="0.3">
      <c r="A326" t="s">
        <v>336</v>
      </c>
      <c r="B326" t="s">
        <v>327</v>
      </c>
      <c r="D326" t="s">
        <v>249</v>
      </c>
      <c r="E326">
        <v>142</v>
      </c>
      <c r="F326" t="s">
        <v>207</v>
      </c>
      <c r="G326">
        <v>8448</v>
      </c>
      <c r="I326" t="s">
        <v>250</v>
      </c>
    </row>
    <row r="327" spans="1:9" x14ac:dyDescent="0.3">
      <c r="A327" t="s">
        <v>336</v>
      </c>
      <c r="B327" t="s">
        <v>327</v>
      </c>
      <c r="D327" t="s">
        <v>251</v>
      </c>
      <c r="E327">
        <v>142</v>
      </c>
      <c r="F327" t="s">
        <v>210</v>
      </c>
      <c r="G327">
        <v>8449</v>
      </c>
      <c r="I327" t="s">
        <v>252</v>
      </c>
    </row>
    <row r="328" spans="1:9" x14ac:dyDescent="0.3">
      <c r="A328" t="s">
        <v>336</v>
      </c>
      <c r="B328" t="s">
        <v>327</v>
      </c>
      <c r="D328" t="s">
        <v>253</v>
      </c>
      <c r="E328">
        <v>142</v>
      </c>
      <c r="F328" t="s">
        <v>213</v>
      </c>
      <c r="G328">
        <v>8450</v>
      </c>
      <c r="I328" t="s">
        <v>254</v>
      </c>
    </row>
    <row r="329" spans="1:9" x14ac:dyDescent="0.3">
      <c r="A329" t="s">
        <v>336</v>
      </c>
      <c r="B329" t="s">
        <v>327</v>
      </c>
      <c r="D329" t="s">
        <v>255</v>
      </c>
      <c r="E329">
        <v>142</v>
      </c>
      <c r="F329" t="s">
        <v>216</v>
      </c>
      <c r="G329">
        <v>8451</v>
      </c>
      <c r="I329" t="s">
        <v>256</v>
      </c>
    </row>
    <row r="330" spans="1:9" x14ac:dyDescent="0.3">
      <c r="A330" t="s">
        <v>336</v>
      </c>
      <c r="B330" t="s">
        <v>327</v>
      </c>
      <c r="D330" t="s">
        <v>257</v>
      </c>
      <c r="E330">
        <v>142</v>
      </c>
      <c r="F330" t="s">
        <v>219</v>
      </c>
      <c r="G330">
        <v>8452</v>
      </c>
      <c r="I330" t="s">
        <v>258</v>
      </c>
    </row>
    <row r="331" spans="1:9" x14ac:dyDescent="0.3">
      <c r="A331" t="s">
        <v>336</v>
      </c>
      <c r="B331" t="s">
        <v>327</v>
      </c>
      <c r="D331" t="s">
        <v>259</v>
      </c>
      <c r="E331">
        <v>142</v>
      </c>
      <c r="F331" t="s">
        <v>222</v>
      </c>
      <c r="G331">
        <v>8453</v>
      </c>
      <c r="I331" t="s">
        <v>260</v>
      </c>
    </row>
    <row r="332" spans="1:9" x14ac:dyDescent="0.3">
      <c r="A332" t="s">
        <v>336</v>
      </c>
      <c r="B332" t="s">
        <v>327</v>
      </c>
      <c r="D332" t="s">
        <v>261</v>
      </c>
      <c r="E332">
        <v>142</v>
      </c>
      <c r="F332" t="s">
        <v>225</v>
      </c>
      <c r="G332">
        <v>8454</v>
      </c>
      <c r="I332" t="s">
        <v>262</v>
      </c>
    </row>
    <row r="333" spans="1:9" x14ac:dyDescent="0.3">
      <c r="A333" t="s">
        <v>336</v>
      </c>
      <c r="B333" t="s">
        <v>327</v>
      </c>
      <c r="D333" t="s">
        <v>263</v>
      </c>
      <c r="E333">
        <v>142</v>
      </c>
      <c r="F333" t="s">
        <v>201</v>
      </c>
      <c r="G333">
        <v>8455</v>
      </c>
      <c r="I333" t="s">
        <v>264</v>
      </c>
    </row>
    <row r="334" spans="1:9" x14ac:dyDescent="0.3">
      <c r="A334" t="s">
        <v>336</v>
      </c>
      <c r="B334" t="s">
        <v>327</v>
      </c>
      <c r="D334" t="s">
        <v>265</v>
      </c>
      <c r="E334">
        <v>142</v>
      </c>
      <c r="F334" t="s">
        <v>204</v>
      </c>
      <c r="G334">
        <v>8456</v>
      </c>
      <c r="I334" t="s">
        <v>266</v>
      </c>
    </row>
    <row r="335" spans="1:9" x14ac:dyDescent="0.3">
      <c r="A335" t="s">
        <v>336</v>
      </c>
      <c r="B335" t="s">
        <v>327</v>
      </c>
      <c r="D335" t="s">
        <v>267</v>
      </c>
      <c r="E335">
        <v>142</v>
      </c>
      <c r="F335" t="s">
        <v>207</v>
      </c>
      <c r="G335">
        <v>8457</v>
      </c>
      <c r="I335" t="s">
        <v>268</v>
      </c>
    </row>
    <row r="336" spans="1:9" x14ac:dyDescent="0.3">
      <c r="A336" t="s">
        <v>336</v>
      </c>
      <c r="B336" t="s">
        <v>327</v>
      </c>
      <c r="D336" t="s">
        <v>269</v>
      </c>
      <c r="E336">
        <v>142</v>
      </c>
      <c r="F336" t="s">
        <v>210</v>
      </c>
      <c r="G336">
        <v>8458</v>
      </c>
      <c r="I336" t="s">
        <v>270</v>
      </c>
    </row>
    <row r="337" spans="1:9" x14ac:dyDescent="0.3">
      <c r="A337" t="s">
        <v>336</v>
      </c>
      <c r="B337" t="s">
        <v>327</v>
      </c>
      <c r="D337" t="s">
        <v>271</v>
      </c>
      <c r="E337">
        <v>142</v>
      </c>
      <c r="F337" t="s">
        <v>213</v>
      </c>
      <c r="G337">
        <v>8459</v>
      </c>
      <c r="I337" t="s">
        <v>272</v>
      </c>
    </row>
    <row r="338" spans="1:9" x14ac:dyDescent="0.3">
      <c r="A338" t="s">
        <v>336</v>
      </c>
      <c r="B338" t="s">
        <v>327</v>
      </c>
      <c r="D338" t="s">
        <v>273</v>
      </c>
      <c r="E338">
        <v>142</v>
      </c>
      <c r="F338" t="s">
        <v>216</v>
      </c>
      <c r="G338">
        <v>8460</v>
      </c>
      <c r="I338" t="s">
        <v>274</v>
      </c>
    </row>
    <row r="339" spans="1:9" x14ac:dyDescent="0.3">
      <c r="A339" t="s">
        <v>336</v>
      </c>
      <c r="B339" t="s">
        <v>327</v>
      </c>
      <c r="D339" t="s">
        <v>275</v>
      </c>
      <c r="E339">
        <v>142</v>
      </c>
      <c r="F339" t="s">
        <v>219</v>
      </c>
      <c r="G339">
        <v>8461</v>
      </c>
      <c r="I339" t="s">
        <v>276</v>
      </c>
    </row>
    <row r="340" spans="1:9" x14ac:dyDescent="0.3">
      <c r="A340" t="s">
        <v>336</v>
      </c>
      <c r="B340" t="s">
        <v>327</v>
      </c>
      <c r="D340" t="s">
        <v>277</v>
      </c>
      <c r="E340">
        <v>142</v>
      </c>
      <c r="F340" t="s">
        <v>278</v>
      </c>
      <c r="G340">
        <v>8462</v>
      </c>
      <c r="I340" t="s">
        <v>279</v>
      </c>
    </row>
    <row r="341" spans="1:9" x14ac:dyDescent="0.3">
      <c r="A341" t="s">
        <v>337</v>
      </c>
      <c r="B341" t="s">
        <v>327</v>
      </c>
      <c r="D341" t="s">
        <v>263</v>
      </c>
      <c r="E341">
        <v>141</v>
      </c>
      <c r="F341" t="s">
        <v>201</v>
      </c>
      <c r="G341">
        <v>8407</v>
      </c>
      <c r="I341" t="s">
        <v>280</v>
      </c>
    </row>
    <row r="342" spans="1:9" x14ac:dyDescent="0.3">
      <c r="A342" t="s">
        <v>337</v>
      </c>
      <c r="B342" t="s">
        <v>327</v>
      </c>
      <c r="D342" t="s">
        <v>265</v>
      </c>
      <c r="E342">
        <v>141</v>
      </c>
      <c r="F342" t="s">
        <v>204</v>
      </c>
      <c r="G342">
        <v>8408</v>
      </c>
      <c r="I342" t="s">
        <v>281</v>
      </c>
    </row>
    <row r="343" spans="1:9" x14ac:dyDescent="0.3">
      <c r="A343" t="s">
        <v>337</v>
      </c>
      <c r="B343" t="s">
        <v>327</v>
      </c>
      <c r="D343" t="s">
        <v>267</v>
      </c>
      <c r="E343">
        <v>141</v>
      </c>
      <c r="F343" t="s">
        <v>207</v>
      </c>
      <c r="G343">
        <v>8409</v>
      </c>
      <c r="I343" t="s">
        <v>282</v>
      </c>
    </row>
    <row r="344" spans="1:9" x14ac:dyDescent="0.3">
      <c r="A344" t="s">
        <v>337</v>
      </c>
      <c r="B344" t="s">
        <v>327</v>
      </c>
      <c r="D344" t="s">
        <v>269</v>
      </c>
      <c r="E344">
        <v>141</v>
      </c>
      <c r="F344" t="s">
        <v>210</v>
      </c>
      <c r="G344">
        <v>8410</v>
      </c>
      <c r="I344" t="s">
        <v>283</v>
      </c>
    </row>
    <row r="345" spans="1:9" x14ac:dyDescent="0.3">
      <c r="A345" t="s">
        <v>337</v>
      </c>
      <c r="B345" t="s">
        <v>327</v>
      </c>
      <c r="D345" t="s">
        <v>271</v>
      </c>
      <c r="E345">
        <v>141</v>
      </c>
      <c r="F345" t="s">
        <v>213</v>
      </c>
      <c r="G345">
        <v>8411</v>
      </c>
      <c r="I345" t="s">
        <v>284</v>
      </c>
    </row>
    <row r="346" spans="1:9" x14ac:dyDescent="0.3">
      <c r="A346" t="s">
        <v>337</v>
      </c>
      <c r="B346" t="s">
        <v>327</v>
      </c>
      <c r="D346" t="s">
        <v>273</v>
      </c>
      <c r="E346">
        <v>141</v>
      </c>
      <c r="F346" t="s">
        <v>216</v>
      </c>
      <c r="G346">
        <v>8412</v>
      </c>
      <c r="I346" t="s">
        <v>285</v>
      </c>
    </row>
    <row r="347" spans="1:9" x14ac:dyDescent="0.3">
      <c r="A347" t="s">
        <v>337</v>
      </c>
      <c r="B347" t="s">
        <v>327</v>
      </c>
      <c r="D347" t="s">
        <v>275</v>
      </c>
      <c r="E347">
        <v>141</v>
      </c>
      <c r="F347" t="s">
        <v>219</v>
      </c>
      <c r="G347">
        <v>8413</v>
      </c>
      <c r="I347" t="s">
        <v>286</v>
      </c>
    </row>
    <row r="348" spans="1:9" x14ac:dyDescent="0.3">
      <c r="A348" t="s">
        <v>337</v>
      </c>
      <c r="B348" t="s">
        <v>327</v>
      </c>
      <c r="D348" t="s">
        <v>287</v>
      </c>
      <c r="E348">
        <v>141</v>
      </c>
      <c r="F348" t="s">
        <v>222</v>
      </c>
      <c r="G348">
        <v>8414</v>
      </c>
      <c r="I348" t="s">
        <v>288</v>
      </c>
    </row>
    <row r="349" spans="1:9" x14ac:dyDescent="0.3">
      <c r="A349" t="s">
        <v>337</v>
      </c>
      <c r="B349" t="s">
        <v>327</v>
      </c>
      <c r="D349" t="s">
        <v>289</v>
      </c>
      <c r="E349">
        <v>141</v>
      </c>
      <c r="F349" t="s">
        <v>225</v>
      </c>
      <c r="G349">
        <v>8415</v>
      </c>
      <c r="I349" t="s">
        <v>290</v>
      </c>
    </row>
    <row r="350" spans="1:9" x14ac:dyDescent="0.3">
      <c r="A350" t="s">
        <v>337</v>
      </c>
      <c r="B350" t="s">
        <v>327</v>
      </c>
      <c r="D350" t="s">
        <v>277</v>
      </c>
      <c r="E350">
        <v>141</v>
      </c>
      <c r="F350" t="s">
        <v>278</v>
      </c>
      <c r="G350">
        <v>8416</v>
      </c>
      <c r="I350" t="s">
        <v>279</v>
      </c>
    </row>
    <row r="351" spans="1:9" x14ac:dyDescent="0.3">
      <c r="A351" t="s">
        <v>338</v>
      </c>
      <c r="B351" t="s">
        <v>327</v>
      </c>
      <c r="D351" t="s">
        <v>200</v>
      </c>
      <c r="E351">
        <v>140</v>
      </c>
      <c r="F351" t="s">
        <v>201</v>
      </c>
      <c r="G351">
        <v>8372</v>
      </c>
      <c r="I351" t="s">
        <v>202</v>
      </c>
    </row>
    <row r="352" spans="1:9" x14ac:dyDescent="0.3">
      <c r="A352" t="s">
        <v>338</v>
      </c>
      <c r="B352" t="s">
        <v>327</v>
      </c>
      <c r="D352" t="s">
        <v>203</v>
      </c>
      <c r="E352">
        <v>140</v>
      </c>
      <c r="F352" t="s">
        <v>204</v>
      </c>
      <c r="G352">
        <v>8373</v>
      </c>
      <c r="I352" t="s">
        <v>205</v>
      </c>
    </row>
    <row r="353" spans="1:9" x14ac:dyDescent="0.3">
      <c r="A353" t="s">
        <v>338</v>
      </c>
      <c r="B353" t="s">
        <v>327</v>
      </c>
      <c r="D353" t="s">
        <v>206</v>
      </c>
      <c r="E353">
        <v>140</v>
      </c>
      <c r="F353" t="s">
        <v>207</v>
      </c>
      <c r="G353">
        <v>8374</v>
      </c>
      <c r="I353" t="s">
        <v>208</v>
      </c>
    </row>
    <row r="354" spans="1:9" x14ac:dyDescent="0.3">
      <c r="A354" t="s">
        <v>338</v>
      </c>
      <c r="B354" t="s">
        <v>327</v>
      </c>
      <c r="D354" t="s">
        <v>209</v>
      </c>
      <c r="E354">
        <v>140</v>
      </c>
      <c r="F354" t="s">
        <v>210</v>
      </c>
      <c r="G354">
        <v>8375</v>
      </c>
      <c r="I354" t="s">
        <v>211</v>
      </c>
    </row>
    <row r="355" spans="1:9" x14ac:dyDescent="0.3">
      <c r="A355" t="s">
        <v>338</v>
      </c>
      <c r="B355" t="s">
        <v>327</v>
      </c>
      <c r="D355" t="s">
        <v>212</v>
      </c>
      <c r="E355">
        <v>140</v>
      </c>
      <c r="F355" t="s">
        <v>213</v>
      </c>
      <c r="G355">
        <v>8376</v>
      </c>
      <c r="I355" t="s">
        <v>214</v>
      </c>
    </row>
    <row r="356" spans="1:9" x14ac:dyDescent="0.3">
      <c r="A356" t="s">
        <v>338</v>
      </c>
      <c r="B356" t="s">
        <v>327</v>
      </c>
      <c r="D356" t="s">
        <v>215</v>
      </c>
      <c r="E356">
        <v>140</v>
      </c>
      <c r="F356" t="s">
        <v>216</v>
      </c>
      <c r="G356">
        <v>8377</v>
      </c>
      <c r="I356" t="s">
        <v>217</v>
      </c>
    </row>
    <row r="357" spans="1:9" x14ac:dyDescent="0.3">
      <c r="A357" t="s">
        <v>338</v>
      </c>
      <c r="B357" t="s">
        <v>327</v>
      </c>
      <c r="D357" t="s">
        <v>218</v>
      </c>
      <c r="E357">
        <v>140</v>
      </c>
      <c r="F357" t="s">
        <v>219</v>
      </c>
      <c r="G357">
        <v>8378</v>
      </c>
      <c r="I357" t="s">
        <v>220</v>
      </c>
    </row>
    <row r="358" spans="1:9" x14ac:dyDescent="0.3">
      <c r="A358" t="s">
        <v>338</v>
      </c>
      <c r="B358" t="s">
        <v>327</v>
      </c>
      <c r="D358" t="s">
        <v>221</v>
      </c>
      <c r="E358">
        <v>140</v>
      </c>
      <c r="F358" t="s">
        <v>222</v>
      </c>
      <c r="G358">
        <v>8379</v>
      </c>
      <c r="I358" t="s">
        <v>223</v>
      </c>
    </row>
    <row r="359" spans="1:9" x14ac:dyDescent="0.3">
      <c r="A359" t="s">
        <v>338</v>
      </c>
      <c r="B359" t="s">
        <v>327</v>
      </c>
      <c r="D359" t="s">
        <v>224</v>
      </c>
      <c r="E359">
        <v>140</v>
      </c>
      <c r="F359" t="s">
        <v>225</v>
      </c>
      <c r="G359">
        <v>8380</v>
      </c>
      <c r="I359" t="s">
        <v>226</v>
      </c>
    </row>
    <row r="360" spans="1:9" x14ac:dyDescent="0.3">
      <c r="A360" t="s">
        <v>338</v>
      </c>
      <c r="B360" t="s">
        <v>327</v>
      </c>
      <c r="D360" t="s">
        <v>227</v>
      </c>
      <c r="E360">
        <v>140</v>
      </c>
      <c r="F360" t="s">
        <v>201</v>
      </c>
      <c r="G360">
        <v>8381</v>
      </c>
      <c r="I360" t="s">
        <v>228</v>
      </c>
    </row>
    <row r="361" spans="1:9" x14ac:dyDescent="0.3">
      <c r="A361" t="s">
        <v>338</v>
      </c>
      <c r="B361" t="s">
        <v>327</v>
      </c>
      <c r="D361" t="s">
        <v>229</v>
      </c>
      <c r="E361">
        <v>140</v>
      </c>
      <c r="F361" t="s">
        <v>204</v>
      </c>
      <c r="G361">
        <v>8382</v>
      </c>
      <c r="I361" t="s">
        <v>230</v>
      </c>
    </row>
    <row r="362" spans="1:9" x14ac:dyDescent="0.3">
      <c r="A362" t="s">
        <v>338</v>
      </c>
      <c r="B362" t="s">
        <v>327</v>
      </c>
      <c r="D362" t="s">
        <v>231</v>
      </c>
      <c r="E362">
        <v>140</v>
      </c>
      <c r="F362" t="s">
        <v>207</v>
      </c>
      <c r="G362">
        <v>8383</v>
      </c>
      <c r="I362" t="s">
        <v>232</v>
      </c>
    </row>
    <row r="363" spans="1:9" x14ac:dyDescent="0.3">
      <c r="A363" t="s">
        <v>338</v>
      </c>
      <c r="B363" t="s">
        <v>327</v>
      </c>
      <c r="D363" t="s">
        <v>233</v>
      </c>
      <c r="E363">
        <v>140</v>
      </c>
      <c r="F363" t="s">
        <v>210</v>
      </c>
      <c r="G363">
        <v>8384</v>
      </c>
      <c r="I363" t="s">
        <v>234</v>
      </c>
    </row>
    <row r="364" spans="1:9" x14ac:dyDescent="0.3">
      <c r="A364" t="s">
        <v>338</v>
      </c>
      <c r="B364" t="s">
        <v>327</v>
      </c>
      <c r="D364" t="s">
        <v>235</v>
      </c>
      <c r="E364">
        <v>140</v>
      </c>
      <c r="F364" t="s">
        <v>213</v>
      </c>
      <c r="G364">
        <v>8385</v>
      </c>
      <c r="I364" t="s">
        <v>236</v>
      </c>
    </row>
    <row r="365" spans="1:9" x14ac:dyDescent="0.3">
      <c r="A365" t="s">
        <v>338</v>
      </c>
      <c r="B365" t="s">
        <v>327</v>
      </c>
      <c r="D365" t="s">
        <v>237</v>
      </c>
      <c r="E365">
        <v>140</v>
      </c>
      <c r="F365" t="s">
        <v>216</v>
      </c>
      <c r="G365">
        <v>8386</v>
      </c>
      <c r="I365" t="s">
        <v>238</v>
      </c>
    </row>
    <row r="366" spans="1:9" x14ac:dyDescent="0.3">
      <c r="A366" t="s">
        <v>338</v>
      </c>
      <c r="B366" t="s">
        <v>327</v>
      </c>
      <c r="D366" t="s">
        <v>239</v>
      </c>
      <c r="E366">
        <v>140</v>
      </c>
      <c r="F366" t="s">
        <v>219</v>
      </c>
      <c r="G366">
        <v>8387</v>
      </c>
      <c r="I366" t="s">
        <v>240</v>
      </c>
    </row>
    <row r="367" spans="1:9" x14ac:dyDescent="0.3">
      <c r="A367" t="s">
        <v>338</v>
      </c>
      <c r="B367" t="s">
        <v>327</v>
      </c>
      <c r="D367" t="s">
        <v>241</v>
      </c>
      <c r="E367">
        <v>140</v>
      </c>
      <c r="F367" t="s">
        <v>222</v>
      </c>
      <c r="G367">
        <v>8388</v>
      </c>
      <c r="I367" t="s">
        <v>242</v>
      </c>
    </row>
    <row r="368" spans="1:9" x14ac:dyDescent="0.3">
      <c r="A368" t="s">
        <v>338</v>
      </c>
      <c r="B368" t="s">
        <v>327</v>
      </c>
      <c r="D368" t="s">
        <v>243</v>
      </c>
      <c r="E368">
        <v>140</v>
      </c>
      <c r="F368" t="s">
        <v>225</v>
      </c>
      <c r="G368">
        <v>8389</v>
      </c>
      <c r="I368" t="s">
        <v>244</v>
      </c>
    </row>
    <row r="369" spans="1:9" x14ac:dyDescent="0.3">
      <c r="A369" t="s">
        <v>338</v>
      </c>
      <c r="B369" t="s">
        <v>327</v>
      </c>
      <c r="D369" t="s">
        <v>245</v>
      </c>
      <c r="E369">
        <v>140</v>
      </c>
      <c r="F369" t="s">
        <v>201</v>
      </c>
      <c r="G369">
        <v>8390</v>
      </c>
      <c r="I369" t="s">
        <v>246</v>
      </c>
    </row>
    <row r="370" spans="1:9" x14ac:dyDescent="0.3">
      <c r="A370" t="s">
        <v>338</v>
      </c>
      <c r="B370" t="s">
        <v>327</v>
      </c>
      <c r="D370" t="s">
        <v>247</v>
      </c>
      <c r="E370">
        <v>140</v>
      </c>
      <c r="F370" t="s">
        <v>204</v>
      </c>
      <c r="G370">
        <v>8391</v>
      </c>
      <c r="I370" t="s">
        <v>248</v>
      </c>
    </row>
    <row r="371" spans="1:9" x14ac:dyDescent="0.3">
      <c r="A371" t="s">
        <v>338</v>
      </c>
      <c r="B371" t="s">
        <v>327</v>
      </c>
      <c r="D371" t="s">
        <v>249</v>
      </c>
      <c r="E371">
        <v>140</v>
      </c>
      <c r="F371" t="s">
        <v>207</v>
      </c>
      <c r="G371">
        <v>8392</v>
      </c>
      <c r="I371" t="s">
        <v>250</v>
      </c>
    </row>
    <row r="372" spans="1:9" x14ac:dyDescent="0.3">
      <c r="A372" t="s">
        <v>338</v>
      </c>
      <c r="B372" t="s">
        <v>327</v>
      </c>
      <c r="D372" t="s">
        <v>251</v>
      </c>
      <c r="E372">
        <v>140</v>
      </c>
      <c r="F372" t="s">
        <v>210</v>
      </c>
      <c r="G372">
        <v>8393</v>
      </c>
      <c r="I372" t="s">
        <v>252</v>
      </c>
    </row>
    <row r="373" spans="1:9" x14ac:dyDescent="0.3">
      <c r="A373" t="s">
        <v>338</v>
      </c>
      <c r="B373" t="s">
        <v>327</v>
      </c>
      <c r="D373" t="s">
        <v>253</v>
      </c>
      <c r="E373">
        <v>140</v>
      </c>
      <c r="F373" t="s">
        <v>213</v>
      </c>
      <c r="G373">
        <v>8394</v>
      </c>
      <c r="I373" t="s">
        <v>254</v>
      </c>
    </row>
    <row r="374" spans="1:9" x14ac:dyDescent="0.3">
      <c r="A374" t="s">
        <v>338</v>
      </c>
      <c r="B374" t="s">
        <v>327</v>
      </c>
      <c r="D374" t="s">
        <v>255</v>
      </c>
      <c r="E374">
        <v>140</v>
      </c>
      <c r="F374" t="s">
        <v>216</v>
      </c>
      <c r="G374">
        <v>8395</v>
      </c>
      <c r="I374" t="s">
        <v>256</v>
      </c>
    </row>
    <row r="375" spans="1:9" x14ac:dyDescent="0.3">
      <c r="A375" t="s">
        <v>338</v>
      </c>
      <c r="B375" t="s">
        <v>327</v>
      </c>
      <c r="D375" t="s">
        <v>257</v>
      </c>
      <c r="E375">
        <v>140</v>
      </c>
      <c r="F375" t="s">
        <v>219</v>
      </c>
      <c r="G375">
        <v>8396</v>
      </c>
      <c r="I375" t="s">
        <v>258</v>
      </c>
    </row>
    <row r="376" spans="1:9" x14ac:dyDescent="0.3">
      <c r="A376" t="s">
        <v>338</v>
      </c>
      <c r="B376" t="s">
        <v>327</v>
      </c>
      <c r="D376" t="s">
        <v>259</v>
      </c>
      <c r="E376">
        <v>140</v>
      </c>
      <c r="F376" t="s">
        <v>222</v>
      </c>
      <c r="G376">
        <v>8397</v>
      </c>
      <c r="I376" t="s">
        <v>260</v>
      </c>
    </row>
    <row r="377" spans="1:9" x14ac:dyDescent="0.3">
      <c r="A377" t="s">
        <v>338</v>
      </c>
      <c r="B377" t="s">
        <v>327</v>
      </c>
      <c r="D377" t="s">
        <v>261</v>
      </c>
      <c r="E377">
        <v>140</v>
      </c>
      <c r="F377" t="s">
        <v>225</v>
      </c>
      <c r="G377">
        <v>8398</v>
      </c>
      <c r="I377" t="s">
        <v>262</v>
      </c>
    </row>
    <row r="378" spans="1:9" x14ac:dyDescent="0.3">
      <c r="A378" t="s">
        <v>338</v>
      </c>
      <c r="B378" t="s">
        <v>327</v>
      </c>
      <c r="D378" t="s">
        <v>263</v>
      </c>
      <c r="E378">
        <v>140</v>
      </c>
      <c r="F378" t="s">
        <v>201</v>
      </c>
      <c r="G378">
        <v>8399</v>
      </c>
      <c r="I378" t="s">
        <v>264</v>
      </c>
    </row>
    <row r="379" spans="1:9" x14ac:dyDescent="0.3">
      <c r="A379" t="s">
        <v>338</v>
      </c>
      <c r="B379" t="s">
        <v>327</v>
      </c>
      <c r="D379" t="s">
        <v>265</v>
      </c>
      <c r="E379">
        <v>140</v>
      </c>
      <c r="F379" t="s">
        <v>204</v>
      </c>
      <c r="G379">
        <v>8400</v>
      </c>
      <c r="I379" t="s">
        <v>266</v>
      </c>
    </row>
    <row r="380" spans="1:9" x14ac:dyDescent="0.3">
      <c r="A380" t="s">
        <v>338</v>
      </c>
      <c r="B380" t="s">
        <v>327</v>
      </c>
      <c r="D380" t="s">
        <v>267</v>
      </c>
      <c r="E380">
        <v>140</v>
      </c>
      <c r="F380" t="s">
        <v>207</v>
      </c>
      <c r="G380">
        <v>8401</v>
      </c>
      <c r="I380" t="s">
        <v>268</v>
      </c>
    </row>
    <row r="381" spans="1:9" x14ac:dyDescent="0.3">
      <c r="A381" t="s">
        <v>338</v>
      </c>
      <c r="B381" t="s">
        <v>327</v>
      </c>
      <c r="D381" t="s">
        <v>269</v>
      </c>
      <c r="E381">
        <v>140</v>
      </c>
      <c r="F381" t="s">
        <v>210</v>
      </c>
      <c r="G381">
        <v>8402</v>
      </c>
      <c r="I381" t="s">
        <v>270</v>
      </c>
    </row>
    <row r="382" spans="1:9" x14ac:dyDescent="0.3">
      <c r="A382" t="s">
        <v>338</v>
      </c>
      <c r="B382" t="s">
        <v>327</v>
      </c>
      <c r="D382" t="s">
        <v>271</v>
      </c>
      <c r="E382">
        <v>140</v>
      </c>
      <c r="F382" t="s">
        <v>213</v>
      </c>
      <c r="G382">
        <v>8403</v>
      </c>
      <c r="I382" t="s">
        <v>272</v>
      </c>
    </row>
    <row r="383" spans="1:9" x14ac:dyDescent="0.3">
      <c r="A383" t="s">
        <v>338</v>
      </c>
      <c r="B383" t="s">
        <v>327</v>
      </c>
      <c r="D383" t="s">
        <v>273</v>
      </c>
      <c r="E383">
        <v>140</v>
      </c>
      <c r="F383" t="s">
        <v>216</v>
      </c>
      <c r="G383">
        <v>8404</v>
      </c>
      <c r="I383" t="s">
        <v>274</v>
      </c>
    </row>
    <row r="384" spans="1:9" x14ac:dyDescent="0.3">
      <c r="A384" t="s">
        <v>338</v>
      </c>
      <c r="B384" t="s">
        <v>327</v>
      </c>
      <c r="D384" t="s">
        <v>275</v>
      </c>
      <c r="E384">
        <v>140</v>
      </c>
      <c r="F384" t="s">
        <v>219</v>
      </c>
      <c r="G384">
        <v>8405</v>
      </c>
      <c r="I384" t="s">
        <v>276</v>
      </c>
    </row>
    <row r="385" spans="1:9" x14ac:dyDescent="0.3">
      <c r="A385" t="s">
        <v>338</v>
      </c>
      <c r="B385" t="s">
        <v>327</v>
      </c>
      <c r="D385" t="s">
        <v>277</v>
      </c>
      <c r="E385">
        <v>140</v>
      </c>
      <c r="F385" t="s">
        <v>278</v>
      </c>
      <c r="G385">
        <v>8406</v>
      </c>
      <c r="I385" t="s">
        <v>279</v>
      </c>
    </row>
    <row r="386" spans="1:9" x14ac:dyDescent="0.3">
      <c r="A386" t="s">
        <v>339</v>
      </c>
      <c r="B386" t="s">
        <v>327</v>
      </c>
      <c r="D386" t="s">
        <v>263</v>
      </c>
      <c r="E386">
        <v>139</v>
      </c>
      <c r="F386" t="s">
        <v>201</v>
      </c>
      <c r="G386">
        <v>8362</v>
      </c>
      <c r="I386" t="s">
        <v>280</v>
      </c>
    </row>
    <row r="387" spans="1:9" x14ac:dyDescent="0.3">
      <c r="A387" t="s">
        <v>339</v>
      </c>
      <c r="B387" t="s">
        <v>327</v>
      </c>
      <c r="D387" t="s">
        <v>265</v>
      </c>
      <c r="E387">
        <v>139</v>
      </c>
      <c r="F387" t="s">
        <v>204</v>
      </c>
      <c r="G387">
        <v>8363</v>
      </c>
      <c r="I387" t="s">
        <v>281</v>
      </c>
    </row>
    <row r="388" spans="1:9" x14ac:dyDescent="0.3">
      <c r="A388" t="s">
        <v>339</v>
      </c>
      <c r="B388" t="s">
        <v>327</v>
      </c>
      <c r="D388" t="s">
        <v>267</v>
      </c>
      <c r="E388">
        <v>139</v>
      </c>
      <c r="F388" t="s">
        <v>207</v>
      </c>
      <c r="G388">
        <v>8364</v>
      </c>
      <c r="I388" t="s">
        <v>282</v>
      </c>
    </row>
    <row r="389" spans="1:9" x14ac:dyDescent="0.3">
      <c r="A389" t="s">
        <v>339</v>
      </c>
      <c r="B389" t="s">
        <v>327</v>
      </c>
      <c r="D389" t="s">
        <v>269</v>
      </c>
      <c r="E389">
        <v>139</v>
      </c>
      <c r="F389" t="s">
        <v>210</v>
      </c>
      <c r="G389">
        <v>8365</v>
      </c>
      <c r="I389" t="s">
        <v>283</v>
      </c>
    </row>
    <row r="390" spans="1:9" x14ac:dyDescent="0.3">
      <c r="A390" t="s">
        <v>339</v>
      </c>
      <c r="B390" t="s">
        <v>327</v>
      </c>
      <c r="D390" t="s">
        <v>271</v>
      </c>
      <c r="E390">
        <v>139</v>
      </c>
      <c r="F390" t="s">
        <v>213</v>
      </c>
      <c r="G390">
        <v>8366</v>
      </c>
      <c r="I390" t="s">
        <v>284</v>
      </c>
    </row>
    <row r="391" spans="1:9" x14ac:dyDescent="0.3">
      <c r="A391" t="s">
        <v>339</v>
      </c>
      <c r="B391" t="s">
        <v>327</v>
      </c>
      <c r="D391" t="s">
        <v>273</v>
      </c>
      <c r="E391">
        <v>139</v>
      </c>
      <c r="F391" t="s">
        <v>216</v>
      </c>
      <c r="G391">
        <v>8367</v>
      </c>
      <c r="I391" t="s">
        <v>285</v>
      </c>
    </row>
    <row r="392" spans="1:9" x14ac:dyDescent="0.3">
      <c r="A392" t="s">
        <v>339</v>
      </c>
      <c r="B392" t="s">
        <v>327</v>
      </c>
      <c r="D392" t="s">
        <v>275</v>
      </c>
      <c r="E392">
        <v>139</v>
      </c>
      <c r="F392" t="s">
        <v>219</v>
      </c>
      <c r="G392">
        <v>8368</v>
      </c>
      <c r="I392" t="s">
        <v>286</v>
      </c>
    </row>
    <row r="393" spans="1:9" x14ac:dyDescent="0.3">
      <c r="A393" t="s">
        <v>339</v>
      </c>
      <c r="B393" t="s">
        <v>327</v>
      </c>
      <c r="D393" t="s">
        <v>287</v>
      </c>
      <c r="E393">
        <v>139</v>
      </c>
      <c r="F393" t="s">
        <v>222</v>
      </c>
      <c r="G393">
        <v>8369</v>
      </c>
      <c r="I393" t="s">
        <v>288</v>
      </c>
    </row>
    <row r="394" spans="1:9" x14ac:dyDescent="0.3">
      <c r="A394" t="s">
        <v>339</v>
      </c>
      <c r="B394" t="s">
        <v>327</v>
      </c>
      <c r="D394" t="s">
        <v>289</v>
      </c>
      <c r="E394">
        <v>139</v>
      </c>
      <c r="F394" t="s">
        <v>225</v>
      </c>
      <c r="G394">
        <v>8370</v>
      </c>
      <c r="I394" t="s">
        <v>290</v>
      </c>
    </row>
    <row r="395" spans="1:9" x14ac:dyDescent="0.3">
      <c r="A395" t="s">
        <v>339</v>
      </c>
      <c r="B395" t="s">
        <v>327</v>
      </c>
      <c r="D395" t="s">
        <v>277</v>
      </c>
      <c r="E395">
        <v>139</v>
      </c>
      <c r="F395" t="s">
        <v>278</v>
      </c>
      <c r="G395">
        <v>8371</v>
      </c>
      <c r="I395" t="s">
        <v>279</v>
      </c>
    </row>
    <row r="396" spans="1:9" x14ac:dyDescent="0.3">
      <c r="A396" t="s">
        <v>340</v>
      </c>
      <c r="B396" t="s">
        <v>327</v>
      </c>
      <c r="D396" t="s">
        <v>263</v>
      </c>
      <c r="E396">
        <v>138</v>
      </c>
      <c r="F396" t="s">
        <v>201</v>
      </c>
      <c r="G396">
        <v>8352</v>
      </c>
      <c r="I396" t="s">
        <v>280</v>
      </c>
    </row>
    <row r="397" spans="1:9" x14ac:dyDescent="0.3">
      <c r="A397" t="s">
        <v>340</v>
      </c>
      <c r="B397" t="s">
        <v>327</v>
      </c>
      <c r="D397" t="s">
        <v>265</v>
      </c>
      <c r="E397">
        <v>138</v>
      </c>
      <c r="F397" t="s">
        <v>204</v>
      </c>
      <c r="G397">
        <v>8353</v>
      </c>
      <c r="I397" t="s">
        <v>281</v>
      </c>
    </row>
    <row r="398" spans="1:9" x14ac:dyDescent="0.3">
      <c r="A398" t="s">
        <v>340</v>
      </c>
      <c r="B398" t="s">
        <v>327</v>
      </c>
      <c r="D398" t="s">
        <v>267</v>
      </c>
      <c r="E398">
        <v>138</v>
      </c>
      <c r="F398" t="s">
        <v>207</v>
      </c>
      <c r="G398">
        <v>8354</v>
      </c>
      <c r="I398" t="s">
        <v>282</v>
      </c>
    </row>
    <row r="399" spans="1:9" x14ac:dyDescent="0.3">
      <c r="A399" t="s">
        <v>340</v>
      </c>
      <c r="B399" t="s">
        <v>327</v>
      </c>
      <c r="D399" t="s">
        <v>269</v>
      </c>
      <c r="E399">
        <v>138</v>
      </c>
      <c r="F399" t="s">
        <v>210</v>
      </c>
      <c r="G399">
        <v>8355</v>
      </c>
      <c r="I399" t="s">
        <v>283</v>
      </c>
    </row>
    <row r="400" spans="1:9" x14ac:dyDescent="0.3">
      <c r="A400" t="s">
        <v>340</v>
      </c>
      <c r="B400" t="s">
        <v>327</v>
      </c>
      <c r="D400" t="s">
        <v>271</v>
      </c>
      <c r="E400">
        <v>138</v>
      </c>
      <c r="F400" t="s">
        <v>213</v>
      </c>
      <c r="G400">
        <v>8356</v>
      </c>
      <c r="I400" t="s">
        <v>284</v>
      </c>
    </row>
    <row r="401" spans="1:9" x14ac:dyDescent="0.3">
      <c r="A401" t="s">
        <v>340</v>
      </c>
      <c r="B401" t="s">
        <v>327</v>
      </c>
      <c r="D401" t="s">
        <v>273</v>
      </c>
      <c r="E401">
        <v>138</v>
      </c>
      <c r="F401" t="s">
        <v>216</v>
      </c>
      <c r="G401">
        <v>8357</v>
      </c>
      <c r="I401" t="s">
        <v>285</v>
      </c>
    </row>
    <row r="402" spans="1:9" x14ac:dyDescent="0.3">
      <c r="A402" t="s">
        <v>340</v>
      </c>
      <c r="B402" t="s">
        <v>327</v>
      </c>
      <c r="D402" t="s">
        <v>275</v>
      </c>
      <c r="E402">
        <v>138</v>
      </c>
      <c r="F402" t="s">
        <v>219</v>
      </c>
      <c r="G402">
        <v>8358</v>
      </c>
      <c r="I402" t="s">
        <v>286</v>
      </c>
    </row>
    <row r="403" spans="1:9" x14ac:dyDescent="0.3">
      <c r="A403" t="s">
        <v>340</v>
      </c>
      <c r="B403" t="s">
        <v>327</v>
      </c>
      <c r="D403" t="s">
        <v>287</v>
      </c>
      <c r="E403">
        <v>138</v>
      </c>
      <c r="F403" t="s">
        <v>222</v>
      </c>
      <c r="G403">
        <v>8359</v>
      </c>
      <c r="I403" t="s">
        <v>288</v>
      </c>
    </row>
    <row r="404" spans="1:9" x14ac:dyDescent="0.3">
      <c r="A404" t="s">
        <v>340</v>
      </c>
      <c r="B404" t="s">
        <v>327</v>
      </c>
      <c r="D404" t="s">
        <v>289</v>
      </c>
      <c r="E404">
        <v>138</v>
      </c>
      <c r="F404" t="s">
        <v>225</v>
      </c>
      <c r="G404">
        <v>8360</v>
      </c>
      <c r="I404" t="s">
        <v>290</v>
      </c>
    </row>
    <row r="405" spans="1:9" x14ac:dyDescent="0.3">
      <c r="A405" t="s">
        <v>340</v>
      </c>
      <c r="B405" t="s">
        <v>327</v>
      </c>
      <c r="D405" t="s">
        <v>277</v>
      </c>
      <c r="E405">
        <v>138</v>
      </c>
      <c r="F405" t="s">
        <v>278</v>
      </c>
      <c r="G405">
        <v>8361</v>
      </c>
      <c r="I405" t="s">
        <v>279</v>
      </c>
    </row>
    <row r="406" spans="1:9" x14ac:dyDescent="0.3">
      <c r="A406" t="s">
        <v>341</v>
      </c>
      <c r="B406" t="s">
        <v>327</v>
      </c>
      <c r="D406" t="s">
        <v>263</v>
      </c>
      <c r="E406">
        <v>137</v>
      </c>
      <c r="F406" t="s">
        <v>201</v>
      </c>
      <c r="G406">
        <v>8342</v>
      </c>
      <c r="I406" t="s">
        <v>280</v>
      </c>
    </row>
    <row r="407" spans="1:9" x14ac:dyDescent="0.3">
      <c r="A407" t="s">
        <v>341</v>
      </c>
      <c r="B407" t="s">
        <v>327</v>
      </c>
      <c r="D407" t="s">
        <v>265</v>
      </c>
      <c r="E407">
        <v>137</v>
      </c>
      <c r="F407" t="s">
        <v>204</v>
      </c>
      <c r="G407">
        <v>8343</v>
      </c>
      <c r="I407" t="s">
        <v>281</v>
      </c>
    </row>
    <row r="408" spans="1:9" x14ac:dyDescent="0.3">
      <c r="A408" t="s">
        <v>341</v>
      </c>
      <c r="B408" t="s">
        <v>327</v>
      </c>
      <c r="D408" t="s">
        <v>267</v>
      </c>
      <c r="E408">
        <v>137</v>
      </c>
      <c r="F408" t="s">
        <v>207</v>
      </c>
      <c r="G408">
        <v>8344</v>
      </c>
      <c r="I408" t="s">
        <v>282</v>
      </c>
    </row>
    <row r="409" spans="1:9" x14ac:dyDescent="0.3">
      <c r="A409" t="s">
        <v>341</v>
      </c>
      <c r="B409" t="s">
        <v>327</v>
      </c>
      <c r="D409" t="s">
        <v>269</v>
      </c>
      <c r="E409">
        <v>137</v>
      </c>
      <c r="F409" t="s">
        <v>210</v>
      </c>
      <c r="G409">
        <v>8345</v>
      </c>
      <c r="I409" t="s">
        <v>283</v>
      </c>
    </row>
    <row r="410" spans="1:9" x14ac:dyDescent="0.3">
      <c r="A410" t="s">
        <v>341</v>
      </c>
      <c r="B410" t="s">
        <v>327</v>
      </c>
      <c r="D410" t="s">
        <v>271</v>
      </c>
      <c r="E410">
        <v>137</v>
      </c>
      <c r="F410" t="s">
        <v>213</v>
      </c>
      <c r="G410">
        <v>8346</v>
      </c>
      <c r="I410" t="s">
        <v>284</v>
      </c>
    </row>
    <row r="411" spans="1:9" x14ac:dyDescent="0.3">
      <c r="A411" t="s">
        <v>341</v>
      </c>
      <c r="B411" t="s">
        <v>327</v>
      </c>
      <c r="D411" t="s">
        <v>273</v>
      </c>
      <c r="E411">
        <v>137</v>
      </c>
      <c r="F411" t="s">
        <v>216</v>
      </c>
      <c r="G411">
        <v>8347</v>
      </c>
      <c r="I411" t="s">
        <v>285</v>
      </c>
    </row>
    <row r="412" spans="1:9" x14ac:dyDescent="0.3">
      <c r="A412" t="s">
        <v>341</v>
      </c>
      <c r="B412" t="s">
        <v>327</v>
      </c>
      <c r="D412" t="s">
        <v>275</v>
      </c>
      <c r="E412">
        <v>137</v>
      </c>
      <c r="F412" t="s">
        <v>219</v>
      </c>
      <c r="G412">
        <v>8348</v>
      </c>
      <c r="I412" t="s">
        <v>286</v>
      </c>
    </row>
    <row r="413" spans="1:9" x14ac:dyDescent="0.3">
      <c r="A413" t="s">
        <v>341</v>
      </c>
      <c r="B413" t="s">
        <v>327</v>
      </c>
      <c r="D413" t="s">
        <v>287</v>
      </c>
      <c r="E413">
        <v>137</v>
      </c>
      <c r="F413" t="s">
        <v>222</v>
      </c>
      <c r="G413">
        <v>8349</v>
      </c>
      <c r="I413" t="s">
        <v>288</v>
      </c>
    </row>
    <row r="414" spans="1:9" x14ac:dyDescent="0.3">
      <c r="A414" t="s">
        <v>341</v>
      </c>
      <c r="B414" t="s">
        <v>327</v>
      </c>
      <c r="D414" t="s">
        <v>289</v>
      </c>
      <c r="E414">
        <v>137</v>
      </c>
      <c r="F414" t="s">
        <v>225</v>
      </c>
      <c r="G414">
        <v>8350</v>
      </c>
      <c r="I414" t="s">
        <v>290</v>
      </c>
    </row>
    <row r="415" spans="1:9" x14ac:dyDescent="0.3">
      <c r="A415" t="s">
        <v>341</v>
      </c>
      <c r="B415" t="s">
        <v>327</v>
      </c>
      <c r="D415" t="s">
        <v>277</v>
      </c>
      <c r="E415">
        <v>137</v>
      </c>
      <c r="F415" t="s">
        <v>278</v>
      </c>
      <c r="G415">
        <v>8351</v>
      </c>
      <c r="I415" t="s">
        <v>279</v>
      </c>
    </row>
    <row r="416" spans="1:9" x14ac:dyDescent="0.3">
      <c r="A416" t="s">
        <v>342</v>
      </c>
      <c r="B416" t="s">
        <v>343</v>
      </c>
      <c r="D416" t="s">
        <v>344</v>
      </c>
      <c r="E416">
        <v>117</v>
      </c>
      <c r="F416" t="s">
        <v>345</v>
      </c>
      <c r="G416">
        <v>7994</v>
      </c>
      <c r="I416" t="s">
        <v>346</v>
      </c>
    </row>
    <row r="417" spans="1:9" x14ac:dyDescent="0.3">
      <c r="A417" t="s">
        <v>342</v>
      </c>
      <c r="B417" t="s">
        <v>347</v>
      </c>
      <c r="D417" t="s">
        <v>348</v>
      </c>
      <c r="E417">
        <v>117</v>
      </c>
      <c r="F417" t="s">
        <v>345</v>
      </c>
      <c r="G417">
        <v>7995</v>
      </c>
      <c r="I417" t="s">
        <v>349</v>
      </c>
    </row>
    <row r="418" spans="1:9" x14ac:dyDescent="0.3">
      <c r="A418" t="s">
        <v>342</v>
      </c>
      <c r="B418" t="s">
        <v>343</v>
      </c>
      <c r="D418" t="s">
        <v>350</v>
      </c>
      <c r="E418">
        <v>117</v>
      </c>
      <c r="F418" t="s">
        <v>345</v>
      </c>
      <c r="G418">
        <v>7996</v>
      </c>
      <c r="I418" t="s">
        <v>351</v>
      </c>
    </row>
    <row r="419" spans="1:9" x14ac:dyDescent="0.3">
      <c r="A419" t="s">
        <v>342</v>
      </c>
      <c r="B419" t="s">
        <v>347</v>
      </c>
      <c r="D419" t="s">
        <v>352</v>
      </c>
      <c r="E419">
        <v>117</v>
      </c>
      <c r="F419" t="s">
        <v>345</v>
      </c>
      <c r="G419">
        <v>7997</v>
      </c>
      <c r="I419" t="s">
        <v>353</v>
      </c>
    </row>
    <row r="420" spans="1:9" x14ac:dyDescent="0.3">
      <c r="A420" t="s">
        <v>342</v>
      </c>
      <c r="B420" t="s">
        <v>343</v>
      </c>
      <c r="D420" t="s">
        <v>354</v>
      </c>
      <c r="E420">
        <v>117</v>
      </c>
      <c r="F420" t="s">
        <v>345</v>
      </c>
      <c r="G420">
        <v>7998</v>
      </c>
      <c r="I420" t="s">
        <v>355</v>
      </c>
    </row>
    <row r="421" spans="1:9" x14ac:dyDescent="0.3">
      <c r="A421" t="s">
        <v>342</v>
      </c>
      <c r="B421" t="s">
        <v>343</v>
      </c>
      <c r="D421" t="s">
        <v>356</v>
      </c>
      <c r="E421">
        <v>117</v>
      </c>
      <c r="F421" t="s">
        <v>345</v>
      </c>
      <c r="G421">
        <v>7999</v>
      </c>
      <c r="I421" t="s">
        <v>357</v>
      </c>
    </row>
    <row r="422" spans="1:9" x14ac:dyDescent="0.3">
      <c r="A422" t="s">
        <v>342</v>
      </c>
      <c r="B422" t="s">
        <v>343</v>
      </c>
      <c r="D422" t="s">
        <v>358</v>
      </c>
      <c r="E422">
        <v>117</v>
      </c>
      <c r="F422" t="s">
        <v>345</v>
      </c>
      <c r="G422">
        <v>8000</v>
      </c>
      <c r="I422" t="s">
        <v>359</v>
      </c>
    </row>
    <row r="423" spans="1:9" x14ac:dyDescent="0.3">
      <c r="A423" t="s">
        <v>360</v>
      </c>
      <c r="B423" t="s">
        <v>361</v>
      </c>
      <c r="D423" t="s">
        <v>362</v>
      </c>
      <c r="E423">
        <v>116</v>
      </c>
      <c r="F423" t="s">
        <v>363</v>
      </c>
      <c r="G423">
        <v>7988</v>
      </c>
      <c r="I423" t="s">
        <v>362</v>
      </c>
    </row>
    <row r="424" spans="1:9" x14ac:dyDescent="0.3">
      <c r="A424" t="s">
        <v>364</v>
      </c>
      <c r="B424" t="s">
        <v>361</v>
      </c>
      <c r="D424" t="s">
        <v>365</v>
      </c>
      <c r="E424">
        <v>116</v>
      </c>
      <c r="F424" t="s">
        <v>363</v>
      </c>
      <c r="G424">
        <v>7989</v>
      </c>
      <c r="I424" t="s">
        <v>366</v>
      </c>
    </row>
    <row r="425" spans="1:9" x14ac:dyDescent="0.3">
      <c r="A425" t="s">
        <v>367</v>
      </c>
      <c r="B425" t="s">
        <v>361</v>
      </c>
      <c r="D425" t="s">
        <v>368</v>
      </c>
      <c r="E425">
        <v>116</v>
      </c>
      <c r="F425" t="s">
        <v>363</v>
      </c>
      <c r="G425">
        <v>7990</v>
      </c>
      <c r="I425" t="s">
        <v>369</v>
      </c>
    </row>
    <row r="426" spans="1:9" x14ac:dyDescent="0.3">
      <c r="A426" t="s">
        <v>364</v>
      </c>
      <c r="B426" t="s">
        <v>361</v>
      </c>
      <c r="D426" t="s">
        <v>370</v>
      </c>
      <c r="E426">
        <v>116</v>
      </c>
      <c r="F426" t="s">
        <v>363</v>
      </c>
      <c r="G426">
        <v>7991</v>
      </c>
      <c r="I426" t="s">
        <v>371</v>
      </c>
    </row>
    <row r="427" spans="1:9" x14ac:dyDescent="0.3">
      <c r="A427" t="s">
        <v>372</v>
      </c>
      <c r="B427" t="s">
        <v>361</v>
      </c>
      <c r="D427" t="s">
        <v>373</v>
      </c>
      <c r="E427">
        <v>116</v>
      </c>
      <c r="F427" t="s">
        <v>363</v>
      </c>
      <c r="G427">
        <v>7992</v>
      </c>
      <c r="I427" t="s">
        <v>374</v>
      </c>
    </row>
    <row r="428" spans="1:9" x14ac:dyDescent="0.3">
      <c r="A428" t="s">
        <v>375</v>
      </c>
      <c r="B428" t="s">
        <v>361</v>
      </c>
      <c r="D428" t="s">
        <v>376</v>
      </c>
      <c r="E428">
        <v>116</v>
      </c>
      <c r="F428" t="s">
        <v>363</v>
      </c>
      <c r="G428">
        <v>7974</v>
      </c>
      <c r="I428" t="s">
        <v>377</v>
      </c>
    </row>
    <row r="429" spans="1:9" x14ac:dyDescent="0.3">
      <c r="A429" t="s">
        <v>378</v>
      </c>
      <c r="B429" t="s">
        <v>361</v>
      </c>
      <c r="D429" t="s">
        <v>379</v>
      </c>
      <c r="E429">
        <v>116</v>
      </c>
      <c r="F429" t="s">
        <v>363</v>
      </c>
      <c r="G429">
        <v>7975</v>
      </c>
      <c r="I429" t="s">
        <v>380</v>
      </c>
    </row>
    <row r="430" spans="1:9" x14ac:dyDescent="0.3">
      <c r="A430" t="s">
        <v>381</v>
      </c>
      <c r="B430" t="s">
        <v>361</v>
      </c>
      <c r="D430" t="s">
        <v>382</v>
      </c>
      <c r="E430">
        <v>116</v>
      </c>
      <c r="F430" t="s">
        <v>363</v>
      </c>
      <c r="G430">
        <v>7976</v>
      </c>
      <c r="I430" t="s">
        <v>383</v>
      </c>
    </row>
    <row r="431" spans="1:9" x14ac:dyDescent="0.3">
      <c r="A431" t="s">
        <v>375</v>
      </c>
      <c r="B431" t="s">
        <v>361</v>
      </c>
      <c r="D431" t="s">
        <v>384</v>
      </c>
      <c r="E431">
        <v>116</v>
      </c>
      <c r="F431" t="s">
        <v>363</v>
      </c>
      <c r="G431">
        <v>7977</v>
      </c>
      <c r="I431" t="s">
        <v>385</v>
      </c>
    </row>
    <row r="432" spans="1:9" x14ac:dyDescent="0.3">
      <c r="A432" t="s">
        <v>386</v>
      </c>
      <c r="B432" t="s">
        <v>361</v>
      </c>
      <c r="D432" t="s">
        <v>387</v>
      </c>
      <c r="E432">
        <v>116</v>
      </c>
      <c r="F432" t="s">
        <v>363</v>
      </c>
      <c r="G432">
        <v>7978</v>
      </c>
      <c r="I432" t="s">
        <v>388</v>
      </c>
    </row>
    <row r="433" spans="1:9" x14ac:dyDescent="0.3">
      <c r="A433" t="s">
        <v>389</v>
      </c>
      <c r="B433" t="s">
        <v>361</v>
      </c>
      <c r="D433" t="s">
        <v>390</v>
      </c>
      <c r="E433">
        <v>116</v>
      </c>
      <c r="F433" t="s">
        <v>363</v>
      </c>
      <c r="G433">
        <v>7979</v>
      </c>
      <c r="I433" t="s">
        <v>391</v>
      </c>
    </row>
    <row r="434" spans="1:9" x14ac:dyDescent="0.3">
      <c r="A434" t="s">
        <v>375</v>
      </c>
      <c r="B434" t="s">
        <v>361</v>
      </c>
      <c r="D434" t="s">
        <v>392</v>
      </c>
      <c r="E434">
        <v>116</v>
      </c>
      <c r="F434" t="s">
        <v>363</v>
      </c>
      <c r="G434">
        <v>7980</v>
      </c>
      <c r="I434" t="s">
        <v>393</v>
      </c>
    </row>
    <row r="435" spans="1:9" x14ac:dyDescent="0.3">
      <c r="A435" t="s">
        <v>394</v>
      </c>
      <c r="B435" t="s">
        <v>361</v>
      </c>
      <c r="D435" t="s">
        <v>395</v>
      </c>
      <c r="E435">
        <v>116</v>
      </c>
      <c r="F435" t="s">
        <v>363</v>
      </c>
      <c r="G435">
        <v>7981</v>
      </c>
      <c r="I435" t="s">
        <v>396</v>
      </c>
    </row>
    <row r="436" spans="1:9" x14ac:dyDescent="0.3">
      <c r="A436" t="s">
        <v>397</v>
      </c>
      <c r="B436" t="s">
        <v>398</v>
      </c>
      <c r="D436" t="s">
        <v>399</v>
      </c>
      <c r="E436">
        <v>116</v>
      </c>
      <c r="F436" t="s">
        <v>363</v>
      </c>
      <c r="G436">
        <v>7982</v>
      </c>
      <c r="I436" t="s">
        <v>400</v>
      </c>
    </row>
    <row r="437" spans="1:9" x14ac:dyDescent="0.3">
      <c r="A437" t="s">
        <v>389</v>
      </c>
      <c r="B437" t="s">
        <v>401</v>
      </c>
      <c r="D437" t="s">
        <v>402</v>
      </c>
      <c r="E437">
        <v>116</v>
      </c>
      <c r="F437" t="s">
        <v>363</v>
      </c>
      <c r="G437">
        <v>7983</v>
      </c>
      <c r="I437" t="s">
        <v>403</v>
      </c>
    </row>
    <row r="438" spans="1:9" x14ac:dyDescent="0.3">
      <c r="A438" t="s">
        <v>372</v>
      </c>
      <c r="B438" t="s">
        <v>401</v>
      </c>
      <c r="D438" t="s">
        <v>404</v>
      </c>
      <c r="E438">
        <v>116</v>
      </c>
      <c r="F438" t="s">
        <v>363</v>
      </c>
      <c r="G438">
        <v>7984</v>
      </c>
      <c r="I438" t="s">
        <v>405</v>
      </c>
    </row>
    <row r="439" spans="1:9" x14ac:dyDescent="0.3">
      <c r="A439" s="30">
        <v>41275</v>
      </c>
      <c r="B439" s="30">
        <v>41275</v>
      </c>
      <c r="D439" t="s">
        <v>406</v>
      </c>
      <c r="E439">
        <v>115</v>
      </c>
      <c r="F439" t="s">
        <v>363</v>
      </c>
      <c r="G439">
        <v>7972</v>
      </c>
      <c r="I439" t="s">
        <v>407</v>
      </c>
    </row>
    <row r="440" spans="1:9" x14ac:dyDescent="0.3">
      <c r="A440" s="30">
        <v>41275</v>
      </c>
      <c r="B440" s="30">
        <v>41275</v>
      </c>
      <c r="D440" t="s">
        <v>408</v>
      </c>
      <c r="E440">
        <v>115</v>
      </c>
      <c r="F440" t="s">
        <v>363</v>
      </c>
      <c r="G440">
        <v>7966</v>
      </c>
      <c r="I440" t="s">
        <v>409</v>
      </c>
    </row>
    <row r="441" spans="1:9" x14ac:dyDescent="0.3">
      <c r="A441" s="30">
        <v>41275</v>
      </c>
      <c r="B441" s="30">
        <v>41275</v>
      </c>
      <c r="D441" t="s">
        <v>410</v>
      </c>
      <c r="E441">
        <v>115</v>
      </c>
      <c r="F441" t="s">
        <v>363</v>
      </c>
      <c r="G441">
        <v>7967</v>
      </c>
      <c r="I441" t="s">
        <v>411</v>
      </c>
    </row>
    <row r="442" spans="1:9" x14ac:dyDescent="0.3">
      <c r="A442" s="30">
        <v>41275</v>
      </c>
      <c r="B442" s="30">
        <v>41275</v>
      </c>
      <c r="D442" t="s">
        <v>412</v>
      </c>
      <c r="E442">
        <v>115</v>
      </c>
      <c r="F442" t="s">
        <v>363</v>
      </c>
      <c r="G442">
        <v>7968</v>
      </c>
      <c r="I442" t="s">
        <v>413</v>
      </c>
    </row>
    <row r="443" spans="1:9" x14ac:dyDescent="0.3">
      <c r="A443" s="30">
        <v>41275</v>
      </c>
      <c r="B443" s="30">
        <v>41275</v>
      </c>
      <c r="D443" t="s">
        <v>414</v>
      </c>
      <c r="E443">
        <v>115</v>
      </c>
      <c r="F443" t="s">
        <v>363</v>
      </c>
      <c r="G443">
        <v>7969</v>
      </c>
      <c r="I443" t="s">
        <v>415</v>
      </c>
    </row>
    <row r="444" spans="1:9" x14ac:dyDescent="0.3">
      <c r="A444" s="30">
        <v>41275</v>
      </c>
      <c r="B444" s="30">
        <v>41275</v>
      </c>
      <c r="D444" t="s">
        <v>416</v>
      </c>
      <c r="E444">
        <v>115</v>
      </c>
      <c r="F444" t="s">
        <v>363</v>
      </c>
      <c r="G444">
        <v>7970</v>
      </c>
      <c r="I444" t="s">
        <v>417</v>
      </c>
    </row>
    <row r="445" spans="1:9" x14ac:dyDescent="0.3">
      <c r="A445" s="30">
        <v>41275</v>
      </c>
      <c r="B445" s="30">
        <v>41275</v>
      </c>
      <c r="D445" t="s">
        <v>418</v>
      </c>
      <c r="E445">
        <v>115</v>
      </c>
      <c r="F445" t="s">
        <v>363</v>
      </c>
      <c r="G445">
        <v>7971</v>
      </c>
      <c r="I445" t="s">
        <v>419</v>
      </c>
    </row>
    <row r="446" spans="1:9" x14ac:dyDescent="0.3">
      <c r="A446" s="30">
        <v>40909</v>
      </c>
      <c r="B446" t="s">
        <v>420</v>
      </c>
      <c r="D446" t="s">
        <v>421</v>
      </c>
      <c r="E446">
        <v>114</v>
      </c>
      <c r="F446" t="s">
        <v>422</v>
      </c>
      <c r="G446">
        <v>7959</v>
      </c>
      <c r="I446" t="s">
        <v>423</v>
      </c>
    </row>
    <row r="447" spans="1:9" x14ac:dyDescent="0.3">
      <c r="A447" s="30">
        <v>40909</v>
      </c>
      <c r="B447" s="30">
        <v>41275</v>
      </c>
      <c r="D447" t="s">
        <v>424</v>
      </c>
      <c r="E447">
        <v>114</v>
      </c>
      <c r="F447" t="s">
        <v>422</v>
      </c>
      <c r="G447">
        <v>7960</v>
      </c>
      <c r="I447" t="s">
        <v>425</v>
      </c>
    </row>
    <row r="448" spans="1:9" x14ac:dyDescent="0.3">
      <c r="A448" t="s">
        <v>360</v>
      </c>
      <c r="B448" t="s">
        <v>420</v>
      </c>
      <c r="D448" t="s">
        <v>426</v>
      </c>
      <c r="E448">
        <v>113</v>
      </c>
      <c r="F448" t="s">
        <v>427</v>
      </c>
      <c r="G448">
        <v>7955</v>
      </c>
      <c r="I448" t="s">
        <v>428</v>
      </c>
    </row>
    <row r="449" spans="1:9" x14ac:dyDescent="0.3">
      <c r="A449" t="s">
        <v>429</v>
      </c>
      <c r="B449" t="s">
        <v>420</v>
      </c>
      <c r="D449" t="s">
        <v>430</v>
      </c>
      <c r="E449">
        <v>113</v>
      </c>
      <c r="F449" t="s">
        <v>431</v>
      </c>
      <c r="G449">
        <v>7957</v>
      </c>
      <c r="I449" t="s">
        <v>432</v>
      </c>
    </row>
    <row r="450" spans="1:9" x14ac:dyDescent="0.3">
      <c r="A450" t="s">
        <v>433</v>
      </c>
      <c r="B450" t="s">
        <v>343</v>
      </c>
      <c r="D450" t="s">
        <v>434</v>
      </c>
      <c r="E450">
        <v>112</v>
      </c>
      <c r="F450" t="s">
        <v>435</v>
      </c>
      <c r="G450">
        <v>7951</v>
      </c>
      <c r="I450" t="s">
        <v>436</v>
      </c>
    </row>
    <row r="451" spans="1:9" x14ac:dyDescent="0.3">
      <c r="A451" s="30">
        <v>40909</v>
      </c>
      <c r="B451" s="30">
        <v>41275</v>
      </c>
      <c r="D451" t="s">
        <v>437</v>
      </c>
      <c r="E451">
        <v>111</v>
      </c>
      <c r="F451" t="s">
        <v>422</v>
      </c>
      <c r="G451">
        <v>7943</v>
      </c>
      <c r="I451" t="s">
        <v>438</v>
      </c>
    </row>
    <row r="452" spans="1:9" x14ac:dyDescent="0.3">
      <c r="A452" s="30">
        <v>40909</v>
      </c>
      <c r="B452" s="30">
        <v>41275</v>
      </c>
      <c r="D452" t="s">
        <v>439</v>
      </c>
      <c r="E452">
        <v>111</v>
      </c>
      <c r="F452" t="s">
        <v>422</v>
      </c>
      <c r="G452">
        <v>7944</v>
      </c>
      <c r="I452" t="s">
        <v>440</v>
      </c>
    </row>
    <row r="453" spans="1:9" x14ac:dyDescent="0.3">
      <c r="A453" s="30">
        <v>40909</v>
      </c>
      <c r="B453" s="30">
        <v>41275</v>
      </c>
      <c r="D453" t="s">
        <v>441</v>
      </c>
      <c r="E453">
        <v>111</v>
      </c>
      <c r="F453" t="s">
        <v>422</v>
      </c>
      <c r="G453">
        <v>7945</v>
      </c>
      <c r="I453" t="s">
        <v>442</v>
      </c>
    </row>
    <row r="454" spans="1:9" x14ac:dyDescent="0.3">
      <c r="A454" s="30">
        <v>40909</v>
      </c>
      <c r="B454" s="30">
        <v>41275</v>
      </c>
      <c r="D454" t="s">
        <v>443</v>
      </c>
      <c r="E454">
        <v>111</v>
      </c>
      <c r="F454" t="s">
        <v>422</v>
      </c>
      <c r="G454">
        <v>7946</v>
      </c>
      <c r="I454" t="s">
        <v>444</v>
      </c>
    </row>
    <row r="455" spans="1:9" x14ac:dyDescent="0.3">
      <c r="A455" s="30">
        <v>40909</v>
      </c>
      <c r="B455" s="30">
        <v>41275</v>
      </c>
      <c r="D455" t="s">
        <v>445</v>
      </c>
      <c r="E455">
        <v>111</v>
      </c>
      <c r="F455" t="s">
        <v>422</v>
      </c>
      <c r="G455">
        <v>7947</v>
      </c>
      <c r="I455" t="s">
        <v>446</v>
      </c>
    </row>
    <row r="456" spans="1:9" x14ac:dyDescent="0.3">
      <c r="A456" s="30">
        <v>40909</v>
      </c>
      <c r="B456" s="30">
        <v>41275</v>
      </c>
      <c r="D456" t="s">
        <v>447</v>
      </c>
      <c r="E456">
        <v>110</v>
      </c>
      <c r="F456" t="s">
        <v>422</v>
      </c>
      <c r="G456">
        <v>7933</v>
      </c>
      <c r="I456" t="s">
        <v>448</v>
      </c>
    </row>
    <row r="457" spans="1:9" x14ac:dyDescent="0.3">
      <c r="A457" s="30">
        <v>40909</v>
      </c>
      <c r="B457" s="30">
        <v>41275</v>
      </c>
      <c r="D457" t="s">
        <v>449</v>
      </c>
      <c r="E457">
        <v>110</v>
      </c>
      <c r="F457" t="s">
        <v>422</v>
      </c>
      <c r="G457">
        <v>7934</v>
      </c>
      <c r="I457" t="s">
        <v>450</v>
      </c>
    </row>
    <row r="458" spans="1:9" x14ac:dyDescent="0.3">
      <c r="A458" s="30">
        <v>40909</v>
      </c>
      <c r="B458" s="30">
        <v>41275</v>
      </c>
      <c r="D458" t="s">
        <v>451</v>
      </c>
      <c r="E458">
        <v>110</v>
      </c>
      <c r="F458" t="s">
        <v>422</v>
      </c>
      <c r="G458">
        <v>7935</v>
      </c>
      <c r="I458" t="s">
        <v>451</v>
      </c>
    </row>
    <row r="459" spans="1:9" x14ac:dyDescent="0.3">
      <c r="A459" s="30">
        <v>40909</v>
      </c>
      <c r="B459" s="30">
        <v>41275</v>
      </c>
      <c r="D459" t="s">
        <v>452</v>
      </c>
      <c r="E459">
        <v>110</v>
      </c>
      <c r="F459" t="s">
        <v>422</v>
      </c>
      <c r="G459">
        <v>7936</v>
      </c>
      <c r="I459" t="s">
        <v>452</v>
      </c>
    </row>
    <row r="460" spans="1:9" x14ac:dyDescent="0.3">
      <c r="A460" s="30">
        <v>40909</v>
      </c>
      <c r="B460" s="30">
        <v>41275</v>
      </c>
      <c r="D460" t="s">
        <v>453</v>
      </c>
      <c r="E460">
        <v>110</v>
      </c>
      <c r="F460" t="s">
        <v>422</v>
      </c>
      <c r="G460">
        <v>7937</v>
      </c>
      <c r="I460" t="s">
        <v>454</v>
      </c>
    </row>
    <row r="461" spans="1:9" x14ac:dyDescent="0.3">
      <c r="A461" s="30">
        <v>40909</v>
      </c>
      <c r="B461" s="30">
        <v>41275</v>
      </c>
      <c r="D461" t="s">
        <v>455</v>
      </c>
      <c r="E461">
        <v>110</v>
      </c>
      <c r="F461" t="s">
        <v>422</v>
      </c>
      <c r="G461">
        <v>7938</v>
      </c>
      <c r="I461" t="s">
        <v>456</v>
      </c>
    </row>
    <row r="462" spans="1:9" x14ac:dyDescent="0.3">
      <c r="A462" s="30">
        <v>40909</v>
      </c>
      <c r="B462" s="30">
        <v>41275</v>
      </c>
      <c r="D462" t="s">
        <v>457</v>
      </c>
      <c r="E462">
        <v>110</v>
      </c>
      <c r="F462" t="s">
        <v>422</v>
      </c>
      <c r="G462">
        <v>7939</v>
      </c>
      <c r="I462" t="s">
        <v>457</v>
      </c>
    </row>
    <row r="463" spans="1:9" x14ac:dyDescent="0.3">
      <c r="A463" s="30">
        <v>40909</v>
      </c>
      <c r="B463" s="30">
        <v>41275</v>
      </c>
      <c r="D463" t="s">
        <v>458</v>
      </c>
      <c r="E463">
        <v>110</v>
      </c>
      <c r="F463" t="s">
        <v>422</v>
      </c>
      <c r="G463">
        <v>7940</v>
      </c>
      <c r="I463" t="s">
        <v>458</v>
      </c>
    </row>
    <row r="464" spans="1:9" x14ac:dyDescent="0.3">
      <c r="A464" s="30">
        <v>40909</v>
      </c>
      <c r="B464" s="30">
        <v>41275</v>
      </c>
      <c r="D464" t="s">
        <v>459</v>
      </c>
      <c r="E464">
        <v>110</v>
      </c>
      <c r="F464" t="s">
        <v>422</v>
      </c>
      <c r="G464">
        <v>7941</v>
      </c>
      <c r="I464" t="s">
        <v>460</v>
      </c>
    </row>
    <row r="465" spans="1:9" x14ac:dyDescent="0.3">
      <c r="A465" t="s">
        <v>433</v>
      </c>
      <c r="B465" t="s">
        <v>461</v>
      </c>
      <c r="D465" t="s">
        <v>462</v>
      </c>
      <c r="E465">
        <v>108</v>
      </c>
      <c r="F465" t="s">
        <v>294</v>
      </c>
      <c r="G465">
        <v>7927</v>
      </c>
      <c r="I465" t="s">
        <v>463</v>
      </c>
    </row>
    <row r="466" spans="1:9" x14ac:dyDescent="0.3">
      <c r="A466" t="s">
        <v>433</v>
      </c>
      <c r="B466" t="s">
        <v>461</v>
      </c>
      <c r="D466" t="s">
        <v>464</v>
      </c>
      <c r="E466">
        <v>108</v>
      </c>
      <c r="F466" t="s">
        <v>294</v>
      </c>
      <c r="G466">
        <v>7930</v>
      </c>
      <c r="I466" t="s">
        <v>465</v>
      </c>
    </row>
    <row r="467" spans="1:9" x14ac:dyDescent="0.3">
      <c r="A467" t="s">
        <v>433</v>
      </c>
      <c r="B467" t="s">
        <v>461</v>
      </c>
      <c r="D467" t="s">
        <v>466</v>
      </c>
      <c r="E467">
        <v>108</v>
      </c>
      <c r="F467" t="s">
        <v>294</v>
      </c>
      <c r="G467">
        <v>7926</v>
      </c>
      <c r="I467" t="s">
        <v>467</v>
      </c>
    </row>
    <row r="468" spans="1:9" x14ac:dyDescent="0.3">
      <c r="A468" t="s">
        <v>433</v>
      </c>
      <c r="B468" t="s">
        <v>461</v>
      </c>
      <c r="D468" t="s">
        <v>468</v>
      </c>
      <c r="E468">
        <v>108</v>
      </c>
      <c r="F468" t="s">
        <v>294</v>
      </c>
      <c r="G468">
        <v>7928</v>
      </c>
      <c r="I468" t="s">
        <v>469</v>
      </c>
    </row>
    <row r="469" spans="1:9" x14ac:dyDescent="0.3">
      <c r="A469" t="s">
        <v>433</v>
      </c>
      <c r="B469" t="s">
        <v>461</v>
      </c>
      <c r="D469" t="s">
        <v>470</v>
      </c>
      <c r="E469">
        <v>108</v>
      </c>
      <c r="F469" t="s">
        <v>294</v>
      </c>
      <c r="G469">
        <v>7929</v>
      </c>
      <c r="I469" t="s">
        <v>469</v>
      </c>
    </row>
    <row r="470" spans="1:9" x14ac:dyDescent="0.3">
      <c r="A470" t="s">
        <v>433</v>
      </c>
      <c r="B470" t="s">
        <v>461</v>
      </c>
      <c r="D470" t="s">
        <v>471</v>
      </c>
      <c r="E470">
        <v>108</v>
      </c>
      <c r="F470" t="s">
        <v>294</v>
      </c>
      <c r="G470">
        <v>7931</v>
      </c>
      <c r="I470" t="s">
        <v>472</v>
      </c>
    </row>
    <row r="471" spans="1:9" x14ac:dyDescent="0.3">
      <c r="A471" t="s">
        <v>473</v>
      </c>
      <c r="B471" t="s">
        <v>420</v>
      </c>
      <c r="D471" t="s">
        <v>474</v>
      </c>
      <c r="E471">
        <v>107</v>
      </c>
      <c r="F471" t="s">
        <v>475</v>
      </c>
      <c r="G471">
        <v>7987</v>
      </c>
      <c r="I471" t="s">
        <v>476</v>
      </c>
    </row>
    <row r="472" spans="1:9" x14ac:dyDescent="0.3">
      <c r="A472" s="30">
        <v>41494</v>
      </c>
      <c r="B472" t="s">
        <v>477</v>
      </c>
      <c r="D472" t="s">
        <v>478</v>
      </c>
      <c r="E472">
        <v>107</v>
      </c>
      <c r="F472" t="s">
        <v>435</v>
      </c>
      <c r="G472">
        <v>7921</v>
      </c>
      <c r="I472" t="s">
        <v>479</v>
      </c>
    </row>
    <row r="473" spans="1:9" x14ac:dyDescent="0.3">
      <c r="A473" t="s">
        <v>364</v>
      </c>
      <c r="B473" t="s">
        <v>420</v>
      </c>
      <c r="D473" t="s">
        <v>480</v>
      </c>
      <c r="E473">
        <v>107</v>
      </c>
      <c r="F473" t="s">
        <v>435</v>
      </c>
      <c r="G473">
        <v>7922</v>
      </c>
      <c r="I473" t="s">
        <v>481</v>
      </c>
    </row>
    <row r="474" spans="1:9" x14ac:dyDescent="0.3">
      <c r="A474" s="30">
        <v>41494</v>
      </c>
      <c r="B474" t="s">
        <v>420</v>
      </c>
      <c r="D474" t="s">
        <v>482</v>
      </c>
      <c r="E474">
        <v>107</v>
      </c>
      <c r="F474" t="s">
        <v>435</v>
      </c>
      <c r="G474">
        <v>7948</v>
      </c>
      <c r="I474" t="s">
        <v>483</v>
      </c>
    </row>
    <row r="475" spans="1:9" x14ac:dyDescent="0.3">
      <c r="A475" s="30">
        <v>41494</v>
      </c>
      <c r="B475" t="s">
        <v>420</v>
      </c>
      <c r="D475" t="s">
        <v>484</v>
      </c>
      <c r="E475">
        <v>107</v>
      </c>
      <c r="F475" t="s">
        <v>435</v>
      </c>
      <c r="G475">
        <v>7949</v>
      </c>
      <c r="I475" t="s">
        <v>484</v>
      </c>
    </row>
    <row r="476" spans="1:9" x14ac:dyDescent="0.3">
      <c r="A476" t="s">
        <v>360</v>
      </c>
      <c r="B476" t="s">
        <v>420</v>
      </c>
      <c r="D476" t="s">
        <v>485</v>
      </c>
      <c r="E476">
        <v>107</v>
      </c>
      <c r="F476" t="s">
        <v>435</v>
      </c>
      <c r="G476">
        <v>7956</v>
      </c>
      <c r="I476" t="s">
        <v>486</v>
      </c>
    </row>
    <row r="477" spans="1:9" x14ac:dyDescent="0.3">
      <c r="A477" s="30">
        <v>41494</v>
      </c>
      <c r="B477" t="s">
        <v>420</v>
      </c>
      <c r="D477" t="s">
        <v>487</v>
      </c>
      <c r="E477">
        <v>107</v>
      </c>
      <c r="F477" t="s">
        <v>475</v>
      </c>
      <c r="G477">
        <v>7961</v>
      </c>
      <c r="I477" t="s">
        <v>488</v>
      </c>
    </row>
    <row r="478" spans="1:9" x14ac:dyDescent="0.3">
      <c r="A478" s="30">
        <v>41494</v>
      </c>
      <c r="B478" t="s">
        <v>420</v>
      </c>
      <c r="D478" t="s">
        <v>489</v>
      </c>
      <c r="E478">
        <v>107</v>
      </c>
      <c r="F478" t="s">
        <v>435</v>
      </c>
      <c r="G478">
        <v>7962</v>
      </c>
      <c r="I478" t="s">
        <v>489</v>
      </c>
    </row>
    <row r="479" spans="1:9" x14ac:dyDescent="0.3">
      <c r="A479" s="30">
        <v>41494</v>
      </c>
      <c r="B479" t="s">
        <v>420</v>
      </c>
      <c r="D479" t="s">
        <v>490</v>
      </c>
      <c r="E479">
        <v>107</v>
      </c>
      <c r="F479" t="s">
        <v>435</v>
      </c>
      <c r="G479">
        <v>7963</v>
      </c>
      <c r="I479" t="s">
        <v>491</v>
      </c>
    </row>
    <row r="480" spans="1:9" x14ac:dyDescent="0.3">
      <c r="A480" t="s">
        <v>360</v>
      </c>
      <c r="B480" t="s">
        <v>420</v>
      </c>
      <c r="D480" t="s">
        <v>492</v>
      </c>
      <c r="E480">
        <v>107</v>
      </c>
      <c r="F480" t="s">
        <v>435</v>
      </c>
      <c r="G480">
        <v>7964</v>
      </c>
      <c r="I480" t="s">
        <v>493</v>
      </c>
    </row>
    <row r="481" spans="1:9" x14ac:dyDescent="0.3">
      <c r="A481" t="s">
        <v>367</v>
      </c>
      <c r="B481" t="s">
        <v>327</v>
      </c>
      <c r="D481" t="s">
        <v>494</v>
      </c>
      <c r="E481">
        <v>95</v>
      </c>
      <c r="F481" t="s">
        <v>427</v>
      </c>
      <c r="G481">
        <v>7710</v>
      </c>
      <c r="I481" t="s">
        <v>495</v>
      </c>
    </row>
    <row r="482" spans="1:9" x14ac:dyDescent="0.3">
      <c r="A482" t="s">
        <v>367</v>
      </c>
      <c r="B482" t="s">
        <v>327</v>
      </c>
      <c r="D482" t="s">
        <v>494</v>
      </c>
      <c r="E482">
        <v>94</v>
      </c>
      <c r="F482" t="s">
        <v>427</v>
      </c>
      <c r="G482">
        <v>7706</v>
      </c>
      <c r="I482" t="s">
        <v>496</v>
      </c>
    </row>
    <row r="483" spans="1:9" x14ac:dyDescent="0.3">
      <c r="A483" t="s">
        <v>367</v>
      </c>
      <c r="B483" t="s">
        <v>327</v>
      </c>
      <c r="D483" t="s">
        <v>447</v>
      </c>
      <c r="E483">
        <v>93</v>
      </c>
      <c r="F483" t="s">
        <v>427</v>
      </c>
      <c r="G483">
        <v>7702</v>
      </c>
      <c r="I483" t="s">
        <v>497</v>
      </c>
    </row>
    <row r="484" spans="1:9" x14ac:dyDescent="0.3">
      <c r="A484" t="s">
        <v>473</v>
      </c>
      <c r="B484" t="s">
        <v>327</v>
      </c>
      <c r="D484" t="s">
        <v>498</v>
      </c>
      <c r="E484">
        <v>93</v>
      </c>
      <c r="F484" t="s">
        <v>499</v>
      </c>
      <c r="G484">
        <v>7986</v>
      </c>
      <c r="I484" t="s">
        <v>500</v>
      </c>
    </row>
    <row r="485" spans="1:9" x14ac:dyDescent="0.3">
      <c r="A485" t="s">
        <v>473</v>
      </c>
      <c r="B485" t="s">
        <v>327</v>
      </c>
      <c r="D485" t="s">
        <v>498</v>
      </c>
      <c r="E485">
        <v>92</v>
      </c>
      <c r="F485" t="s">
        <v>499</v>
      </c>
      <c r="G485">
        <v>7985</v>
      </c>
      <c r="I485" t="s">
        <v>501</v>
      </c>
    </row>
    <row r="486" spans="1:9" x14ac:dyDescent="0.3">
      <c r="A486" t="s">
        <v>364</v>
      </c>
      <c r="B486" t="s">
        <v>327</v>
      </c>
      <c r="D486" t="s">
        <v>447</v>
      </c>
      <c r="E486">
        <v>92</v>
      </c>
      <c r="F486" t="s">
        <v>427</v>
      </c>
      <c r="G486">
        <v>7698</v>
      </c>
      <c r="I486" t="s">
        <v>497</v>
      </c>
    </row>
    <row r="487" spans="1:9" x14ac:dyDescent="0.3">
      <c r="A487" t="s">
        <v>367</v>
      </c>
      <c r="B487" t="s">
        <v>420</v>
      </c>
      <c r="D487" t="s">
        <v>502</v>
      </c>
      <c r="E487">
        <v>89</v>
      </c>
      <c r="F487" t="s">
        <v>427</v>
      </c>
      <c r="G487">
        <v>7680</v>
      </c>
      <c r="I487" t="s">
        <v>503</v>
      </c>
    </row>
    <row r="488" spans="1:9" x14ac:dyDescent="0.3">
      <c r="A488" t="s">
        <v>367</v>
      </c>
      <c r="B488" t="s">
        <v>420</v>
      </c>
      <c r="D488" t="s">
        <v>504</v>
      </c>
      <c r="E488">
        <v>89</v>
      </c>
      <c r="F488" t="s">
        <v>505</v>
      </c>
      <c r="G488">
        <v>7681</v>
      </c>
      <c r="I488" t="s">
        <v>506</v>
      </c>
    </row>
    <row r="489" spans="1:9" x14ac:dyDescent="0.3">
      <c r="A489" t="s">
        <v>367</v>
      </c>
      <c r="B489" t="s">
        <v>420</v>
      </c>
      <c r="D489" t="s">
        <v>507</v>
      </c>
      <c r="E489">
        <v>89</v>
      </c>
      <c r="F489" t="s">
        <v>508</v>
      </c>
      <c r="G489">
        <v>7682</v>
      </c>
      <c r="I489" t="s">
        <v>509</v>
      </c>
    </row>
    <row r="490" spans="1:9" x14ac:dyDescent="0.3">
      <c r="A490" t="s">
        <v>367</v>
      </c>
      <c r="B490" t="s">
        <v>420</v>
      </c>
      <c r="D490" t="s">
        <v>510</v>
      </c>
      <c r="E490">
        <v>89</v>
      </c>
      <c r="F490" t="s">
        <v>431</v>
      </c>
      <c r="G490">
        <v>7683</v>
      </c>
      <c r="I490" t="s">
        <v>511</v>
      </c>
    </row>
    <row r="491" spans="1:9" x14ac:dyDescent="0.3">
      <c r="A491" t="s">
        <v>367</v>
      </c>
      <c r="B491" t="s">
        <v>420</v>
      </c>
      <c r="D491" t="s">
        <v>512</v>
      </c>
      <c r="E491">
        <v>89</v>
      </c>
      <c r="F491" t="s">
        <v>513</v>
      </c>
      <c r="G491">
        <v>7684</v>
      </c>
      <c r="I491" t="s">
        <v>514</v>
      </c>
    </row>
    <row r="492" spans="1:9" x14ac:dyDescent="0.3">
      <c r="A492" t="s">
        <v>367</v>
      </c>
      <c r="B492" t="s">
        <v>420</v>
      </c>
      <c r="D492" t="s">
        <v>515</v>
      </c>
      <c r="E492">
        <v>89</v>
      </c>
      <c r="F492" t="s">
        <v>516</v>
      </c>
      <c r="G492">
        <v>7685</v>
      </c>
      <c r="I492" t="s">
        <v>517</v>
      </c>
    </row>
    <row r="493" spans="1:9" x14ac:dyDescent="0.3">
      <c r="A493" t="s">
        <v>381</v>
      </c>
      <c r="B493" t="s">
        <v>420</v>
      </c>
      <c r="D493" t="s">
        <v>502</v>
      </c>
      <c r="E493">
        <v>88</v>
      </c>
      <c r="F493" t="s">
        <v>427</v>
      </c>
      <c r="G493">
        <v>7653</v>
      </c>
      <c r="I493" t="s">
        <v>503</v>
      </c>
    </row>
    <row r="494" spans="1:9" x14ac:dyDescent="0.3">
      <c r="A494" t="s">
        <v>381</v>
      </c>
      <c r="B494" t="s">
        <v>420</v>
      </c>
      <c r="D494" t="s">
        <v>518</v>
      </c>
      <c r="E494">
        <v>88</v>
      </c>
      <c r="F494" t="s">
        <v>427</v>
      </c>
      <c r="G494">
        <v>7654</v>
      </c>
      <c r="I494" t="s">
        <v>519</v>
      </c>
    </row>
    <row r="495" spans="1:9" x14ac:dyDescent="0.3">
      <c r="A495" t="s">
        <v>381</v>
      </c>
      <c r="B495" t="s">
        <v>420</v>
      </c>
      <c r="D495" t="s">
        <v>520</v>
      </c>
      <c r="E495">
        <v>88</v>
      </c>
      <c r="F495" t="s">
        <v>427</v>
      </c>
      <c r="G495">
        <v>7655</v>
      </c>
      <c r="I495" t="s">
        <v>521</v>
      </c>
    </row>
    <row r="496" spans="1:9" x14ac:dyDescent="0.3">
      <c r="A496" t="s">
        <v>381</v>
      </c>
      <c r="B496" t="s">
        <v>420</v>
      </c>
      <c r="D496" t="s">
        <v>504</v>
      </c>
      <c r="E496">
        <v>88</v>
      </c>
      <c r="F496" t="s">
        <v>505</v>
      </c>
      <c r="G496">
        <v>7657</v>
      </c>
      <c r="I496" t="s">
        <v>506</v>
      </c>
    </row>
    <row r="497" spans="1:9" x14ac:dyDescent="0.3">
      <c r="A497" t="s">
        <v>381</v>
      </c>
      <c r="B497" t="s">
        <v>420</v>
      </c>
      <c r="D497" t="s">
        <v>522</v>
      </c>
      <c r="E497">
        <v>88</v>
      </c>
      <c r="F497" t="s">
        <v>505</v>
      </c>
      <c r="G497">
        <v>7658</v>
      </c>
      <c r="I497" t="s">
        <v>523</v>
      </c>
    </row>
    <row r="498" spans="1:9" x14ac:dyDescent="0.3">
      <c r="A498" t="s">
        <v>381</v>
      </c>
      <c r="B498" t="s">
        <v>420</v>
      </c>
      <c r="D498" t="s">
        <v>524</v>
      </c>
      <c r="E498">
        <v>88</v>
      </c>
      <c r="F498" t="s">
        <v>505</v>
      </c>
      <c r="G498">
        <v>7659</v>
      </c>
      <c r="I498" t="s">
        <v>525</v>
      </c>
    </row>
    <row r="499" spans="1:9" x14ac:dyDescent="0.3">
      <c r="A499" t="s">
        <v>381</v>
      </c>
      <c r="B499" t="s">
        <v>420</v>
      </c>
      <c r="D499" t="s">
        <v>526</v>
      </c>
      <c r="E499">
        <v>88</v>
      </c>
      <c r="F499" t="s">
        <v>505</v>
      </c>
      <c r="G499">
        <v>7660</v>
      </c>
      <c r="I499" t="s">
        <v>527</v>
      </c>
    </row>
    <row r="500" spans="1:9" x14ac:dyDescent="0.3">
      <c r="A500" t="s">
        <v>381</v>
      </c>
      <c r="B500" t="s">
        <v>420</v>
      </c>
      <c r="D500" t="s">
        <v>507</v>
      </c>
      <c r="E500">
        <v>88</v>
      </c>
      <c r="F500" t="s">
        <v>508</v>
      </c>
      <c r="G500">
        <v>7661</v>
      </c>
      <c r="I500" t="s">
        <v>509</v>
      </c>
    </row>
    <row r="501" spans="1:9" x14ac:dyDescent="0.3">
      <c r="A501" t="s">
        <v>381</v>
      </c>
      <c r="B501" t="s">
        <v>420</v>
      </c>
      <c r="D501" t="s">
        <v>528</v>
      </c>
      <c r="E501">
        <v>88</v>
      </c>
      <c r="F501" t="s">
        <v>508</v>
      </c>
      <c r="G501">
        <v>7662</v>
      </c>
      <c r="I501" t="s">
        <v>529</v>
      </c>
    </row>
    <row r="502" spans="1:9" x14ac:dyDescent="0.3">
      <c r="A502" t="s">
        <v>381</v>
      </c>
      <c r="B502" t="s">
        <v>420</v>
      </c>
      <c r="D502" t="s">
        <v>530</v>
      </c>
      <c r="E502">
        <v>88</v>
      </c>
      <c r="F502" t="s">
        <v>508</v>
      </c>
      <c r="G502">
        <v>7663</v>
      </c>
      <c r="I502" t="s">
        <v>531</v>
      </c>
    </row>
    <row r="503" spans="1:9" x14ac:dyDescent="0.3">
      <c r="A503" t="s">
        <v>381</v>
      </c>
      <c r="B503" t="s">
        <v>420</v>
      </c>
      <c r="D503" t="s">
        <v>532</v>
      </c>
      <c r="E503">
        <v>88</v>
      </c>
      <c r="F503" t="s">
        <v>508</v>
      </c>
      <c r="G503">
        <v>7664</v>
      </c>
      <c r="I503" t="s">
        <v>533</v>
      </c>
    </row>
    <row r="504" spans="1:9" x14ac:dyDescent="0.3">
      <c r="A504" t="s">
        <v>381</v>
      </c>
      <c r="B504" t="s">
        <v>420</v>
      </c>
      <c r="D504" t="s">
        <v>510</v>
      </c>
      <c r="E504">
        <v>88</v>
      </c>
      <c r="F504" t="s">
        <v>431</v>
      </c>
      <c r="G504">
        <v>7665</v>
      </c>
      <c r="I504" t="s">
        <v>511</v>
      </c>
    </row>
    <row r="505" spans="1:9" x14ac:dyDescent="0.3">
      <c r="A505" t="s">
        <v>381</v>
      </c>
      <c r="B505" t="s">
        <v>420</v>
      </c>
      <c r="D505" t="s">
        <v>534</v>
      </c>
      <c r="E505">
        <v>88</v>
      </c>
      <c r="F505" t="s">
        <v>431</v>
      </c>
      <c r="G505">
        <v>7666</v>
      </c>
      <c r="I505" t="s">
        <v>535</v>
      </c>
    </row>
    <row r="506" spans="1:9" x14ac:dyDescent="0.3">
      <c r="A506" t="s">
        <v>381</v>
      </c>
      <c r="B506" t="s">
        <v>420</v>
      </c>
      <c r="D506" t="s">
        <v>536</v>
      </c>
      <c r="E506">
        <v>88</v>
      </c>
      <c r="F506" t="s">
        <v>431</v>
      </c>
      <c r="G506">
        <v>7667</v>
      </c>
      <c r="I506" t="s">
        <v>537</v>
      </c>
    </row>
    <row r="507" spans="1:9" x14ac:dyDescent="0.3">
      <c r="A507" t="s">
        <v>381</v>
      </c>
      <c r="B507" t="s">
        <v>420</v>
      </c>
      <c r="D507" t="s">
        <v>512</v>
      </c>
      <c r="E507">
        <v>88</v>
      </c>
      <c r="F507" t="s">
        <v>513</v>
      </c>
      <c r="G507">
        <v>7669</v>
      </c>
      <c r="I507" t="s">
        <v>514</v>
      </c>
    </row>
    <row r="508" spans="1:9" x14ac:dyDescent="0.3">
      <c r="A508" t="s">
        <v>381</v>
      </c>
      <c r="B508" t="s">
        <v>420</v>
      </c>
      <c r="D508" t="s">
        <v>538</v>
      </c>
      <c r="E508">
        <v>88</v>
      </c>
      <c r="F508" t="s">
        <v>513</v>
      </c>
      <c r="G508">
        <v>7670</v>
      </c>
      <c r="I508" t="s">
        <v>539</v>
      </c>
    </row>
    <row r="509" spans="1:9" x14ac:dyDescent="0.3">
      <c r="A509" t="s">
        <v>381</v>
      </c>
      <c r="B509" t="s">
        <v>420</v>
      </c>
      <c r="D509" t="s">
        <v>540</v>
      </c>
      <c r="E509">
        <v>88</v>
      </c>
      <c r="F509" t="s">
        <v>513</v>
      </c>
      <c r="G509">
        <v>7671</v>
      </c>
      <c r="I509" t="s">
        <v>541</v>
      </c>
    </row>
    <row r="510" spans="1:9" x14ac:dyDescent="0.3">
      <c r="A510" t="s">
        <v>381</v>
      </c>
      <c r="B510" t="s">
        <v>420</v>
      </c>
      <c r="D510" t="s">
        <v>542</v>
      </c>
      <c r="E510">
        <v>88</v>
      </c>
      <c r="F510" t="s">
        <v>513</v>
      </c>
      <c r="G510">
        <v>7672</v>
      </c>
      <c r="I510" t="s">
        <v>543</v>
      </c>
    </row>
    <row r="511" spans="1:9" x14ac:dyDescent="0.3">
      <c r="A511" t="s">
        <v>381</v>
      </c>
      <c r="B511" t="s">
        <v>420</v>
      </c>
      <c r="D511" t="s">
        <v>515</v>
      </c>
      <c r="E511">
        <v>88</v>
      </c>
      <c r="F511" t="s">
        <v>516</v>
      </c>
      <c r="G511">
        <v>7673</v>
      </c>
      <c r="I511" t="s">
        <v>517</v>
      </c>
    </row>
    <row r="512" spans="1:9" x14ac:dyDescent="0.3">
      <c r="A512" t="s">
        <v>381</v>
      </c>
      <c r="B512" t="s">
        <v>420</v>
      </c>
      <c r="D512" t="s">
        <v>544</v>
      </c>
      <c r="E512">
        <v>88</v>
      </c>
      <c r="F512" t="s">
        <v>516</v>
      </c>
      <c r="G512">
        <v>7674</v>
      </c>
      <c r="I512" t="s">
        <v>545</v>
      </c>
    </row>
    <row r="513" spans="1:9" x14ac:dyDescent="0.3">
      <c r="A513" t="s">
        <v>381</v>
      </c>
      <c r="B513" t="s">
        <v>420</v>
      </c>
      <c r="D513" t="s">
        <v>546</v>
      </c>
      <c r="E513">
        <v>88</v>
      </c>
      <c r="F513" t="s">
        <v>516</v>
      </c>
      <c r="G513">
        <v>7675</v>
      </c>
      <c r="I513" t="s">
        <v>547</v>
      </c>
    </row>
    <row r="514" spans="1:9" x14ac:dyDescent="0.3">
      <c r="A514" t="s">
        <v>381</v>
      </c>
      <c r="B514" t="s">
        <v>420</v>
      </c>
      <c r="D514" t="s">
        <v>548</v>
      </c>
      <c r="E514">
        <v>88</v>
      </c>
      <c r="F514" t="s">
        <v>513</v>
      </c>
      <c r="G514">
        <v>7676</v>
      </c>
      <c r="I514" t="s">
        <v>549</v>
      </c>
    </row>
    <row r="515" spans="1:9" x14ac:dyDescent="0.3">
      <c r="A515" t="s">
        <v>381</v>
      </c>
      <c r="B515" t="s">
        <v>420</v>
      </c>
      <c r="D515" t="s">
        <v>550</v>
      </c>
      <c r="E515">
        <v>88</v>
      </c>
      <c r="F515" t="s">
        <v>427</v>
      </c>
      <c r="G515">
        <v>7656</v>
      </c>
      <c r="I515" t="s">
        <v>551</v>
      </c>
    </row>
    <row r="516" spans="1:9" x14ac:dyDescent="0.3">
      <c r="A516" t="s">
        <v>381</v>
      </c>
      <c r="B516" t="s">
        <v>420</v>
      </c>
      <c r="D516" t="s">
        <v>552</v>
      </c>
      <c r="E516">
        <v>88</v>
      </c>
      <c r="F516" t="s">
        <v>431</v>
      </c>
      <c r="G516">
        <v>7668</v>
      </c>
      <c r="I516" t="s">
        <v>553</v>
      </c>
    </row>
    <row r="517" spans="1:9" x14ac:dyDescent="0.3">
      <c r="A517" t="s">
        <v>378</v>
      </c>
      <c r="B517" t="s">
        <v>420</v>
      </c>
      <c r="D517" t="s">
        <v>550</v>
      </c>
      <c r="E517">
        <v>87</v>
      </c>
      <c r="F517" t="s">
        <v>427</v>
      </c>
      <c r="G517">
        <v>7629</v>
      </c>
      <c r="I517" t="s">
        <v>551</v>
      </c>
    </row>
    <row r="518" spans="1:9" x14ac:dyDescent="0.3">
      <c r="A518" t="s">
        <v>378</v>
      </c>
      <c r="B518" t="s">
        <v>420</v>
      </c>
      <c r="D518" t="s">
        <v>552</v>
      </c>
      <c r="E518">
        <v>87</v>
      </c>
      <c r="F518" t="s">
        <v>431</v>
      </c>
      <c r="G518">
        <v>7641</v>
      </c>
      <c r="I518" t="s">
        <v>553</v>
      </c>
    </row>
    <row r="519" spans="1:9" x14ac:dyDescent="0.3">
      <c r="A519" t="s">
        <v>378</v>
      </c>
      <c r="B519" t="s">
        <v>420</v>
      </c>
      <c r="D519" t="s">
        <v>502</v>
      </c>
      <c r="E519">
        <v>87</v>
      </c>
      <c r="F519" t="s">
        <v>427</v>
      </c>
      <c r="G519">
        <v>7626</v>
      </c>
      <c r="I519" t="s">
        <v>503</v>
      </c>
    </row>
    <row r="520" spans="1:9" x14ac:dyDescent="0.3">
      <c r="A520" t="s">
        <v>378</v>
      </c>
      <c r="B520" t="s">
        <v>420</v>
      </c>
      <c r="D520" t="s">
        <v>518</v>
      </c>
      <c r="E520">
        <v>87</v>
      </c>
      <c r="F520" t="s">
        <v>427</v>
      </c>
      <c r="G520">
        <v>7627</v>
      </c>
      <c r="I520" t="s">
        <v>519</v>
      </c>
    </row>
    <row r="521" spans="1:9" x14ac:dyDescent="0.3">
      <c r="A521" t="s">
        <v>378</v>
      </c>
      <c r="B521" t="s">
        <v>420</v>
      </c>
      <c r="D521" t="s">
        <v>520</v>
      </c>
      <c r="E521">
        <v>87</v>
      </c>
      <c r="F521" t="s">
        <v>427</v>
      </c>
      <c r="G521">
        <v>7628</v>
      </c>
      <c r="I521" t="s">
        <v>521</v>
      </c>
    </row>
    <row r="522" spans="1:9" x14ac:dyDescent="0.3">
      <c r="A522" t="s">
        <v>378</v>
      </c>
      <c r="B522" t="s">
        <v>420</v>
      </c>
      <c r="D522" t="s">
        <v>504</v>
      </c>
      <c r="E522">
        <v>87</v>
      </c>
      <c r="F522" t="s">
        <v>505</v>
      </c>
      <c r="G522">
        <v>7630</v>
      </c>
      <c r="I522" t="s">
        <v>506</v>
      </c>
    </row>
    <row r="523" spans="1:9" x14ac:dyDescent="0.3">
      <c r="A523" t="s">
        <v>378</v>
      </c>
      <c r="B523" t="s">
        <v>420</v>
      </c>
      <c r="D523" t="s">
        <v>522</v>
      </c>
      <c r="E523">
        <v>87</v>
      </c>
      <c r="F523" t="s">
        <v>505</v>
      </c>
      <c r="G523">
        <v>7631</v>
      </c>
      <c r="I523" t="s">
        <v>523</v>
      </c>
    </row>
    <row r="524" spans="1:9" x14ac:dyDescent="0.3">
      <c r="A524" t="s">
        <v>378</v>
      </c>
      <c r="B524" t="s">
        <v>420</v>
      </c>
      <c r="D524" t="s">
        <v>524</v>
      </c>
      <c r="E524">
        <v>87</v>
      </c>
      <c r="F524" t="s">
        <v>505</v>
      </c>
      <c r="G524">
        <v>7632</v>
      </c>
      <c r="I524" t="s">
        <v>525</v>
      </c>
    </row>
    <row r="525" spans="1:9" x14ac:dyDescent="0.3">
      <c r="A525" t="s">
        <v>378</v>
      </c>
      <c r="B525" t="s">
        <v>420</v>
      </c>
      <c r="D525" t="s">
        <v>526</v>
      </c>
      <c r="E525">
        <v>87</v>
      </c>
      <c r="F525" t="s">
        <v>505</v>
      </c>
      <c r="G525">
        <v>7633</v>
      </c>
      <c r="I525" t="s">
        <v>527</v>
      </c>
    </row>
    <row r="526" spans="1:9" x14ac:dyDescent="0.3">
      <c r="A526" t="s">
        <v>378</v>
      </c>
      <c r="B526" t="s">
        <v>420</v>
      </c>
      <c r="D526" t="s">
        <v>507</v>
      </c>
      <c r="E526">
        <v>87</v>
      </c>
      <c r="F526" t="s">
        <v>508</v>
      </c>
      <c r="G526">
        <v>7634</v>
      </c>
      <c r="I526" t="s">
        <v>509</v>
      </c>
    </row>
    <row r="527" spans="1:9" x14ac:dyDescent="0.3">
      <c r="A527" t="s">
        <v>378</v>
      </c>
      <c r="B527" t="s">
        <v>420</v>
      </c>
      <c r="D527" t="s">
        <v>528</v>
      </c>
      <c r="E527">
        <v>87</v>
      </c>
      <c r="F527" t="s">
        <v>508</v>
      </c>
      <c r="G527">
        <v>7635</v>
      </c>
      <c r="I527" t="s">
        <v>529</v>
      </c>
    </row>
    <row r="528" spans="1:9" x14ac:dyDescent="0.3">
      <c r="A528" t="s">
        <v>378</v>
      </c>
      <c r="B528" t="s">
        <v>420</v>
      </c>
      <c r="D528" t="s">
        <v>530</v>
      </c>
      <c r="E528">
        <v>87</v>
      </c>
      <c r="F528" t="s">
        <v>508</v>
      </c>
      <c r="G528">
        <v>7636</v>
      </c>
      <c r="I528" t="s">
        <v>531</v>
      </c>
    </row>
    <row r="529" spans="1:9" x14ac:dyDescent="0.3">
      <c r="A529" t="s">
        <v>378</v>
      </c>
      <c r="B529" t="s">
        <v>420</v>
      </c>
      <c r="D529" t="s">
        <v>532</v>
      </c>
      <c r="E529">
        <v>87</v>
      </c>
      <c r="F529" t="s">
        <v>508</v>
      </c>
      <c r="G529">
        <v>7637</v>
      </c>
      <c r="I529" t="s">
        <v>533</v>
      </c>
    </row>
    <row r="530" spans="1:9" x14ac:dyDescent="0.3">
      <c r="A530" t="s">
        <v>378</v>
      </c>
      <c r="B530" t="s">
        <v>420</v>
      </c>
      <c r="D530" t="s">
        <v>510</v>
      </c>
      <c r="E530">
        <v>87</v>
      </c>
      <c r="F530" t="s">
        <v>431</v>
      </c>
      <c r="G530">
        <v>7638</v>
      </c>
      <c r="I530" t="s">
        <v>511</v>
      </c>
    </row>
    <row r="531" spans="1:9" x14ac:dyDescent="0.3">
      <c r="A531" t="s">
        <v>378</v>
      </c>
      <c r="B531" t="s">
        <v>420</v>
      </c>
      <c r="D531" t="s">
        <v>534</v>
      </c>
      <c r="E531">
        <v>87</v>
      </c>
      <c r="F531" t="s">
        <v>431</v>
      </c>
      <c r="G531">
        <v>7639</v>
      </c>
      <c r="I531" t="s">
        <v>535</v>
      </c>
    </row>
    <row r="532" spans="1:9" x14ac:dyDescent="0.3">
      <c r="A532" t="s">
        <v>378</v>
      </c>
      <c r="B532" t="s">
        <v>420</v>
      </c>
      <c r="D532" t="s">
        <v>536</v>
      </c>
      <c r="E532">
        <v>87</v>
      </c>
      <c r="F532" t="s">
        <v>431</v>
      </c>
      <c r="G532">
        <v>7640</v>
      </c>
      <c r="I532" t="s">
        <v>537</v>
      </c>
    </row>
    <row r="533" spans="1:9" x14ac:dyDescent="0.3">
      <c r="A533" t="s">
        <v>378</v>
      </c>
      <c r="B533" t="s">
        <v>420</v>
      </c>
      <c r="D533" t="s">
        <v>512</v>
      </c>
      <c r="E533">
        <v>87</v>
      </c>
      <c r="F533" t="s">
        <v>513</v>
      </c>
      <c r="G533">
        <v>7642</v>
      </c>
      <c r="I533" t="s">
        <v>514</v>
      </c>
    </row>
    <row r="534" spans="1:9" x14ac:dyDescent="0.3">
      <c r="A534" t="s">
        <v>378</v>
      </c>
      <c r="B534" t="s">
        <v>420</v>
      </c>
      <c r="D534" t="s">
        <v>538</v>
      </c>
      <c r="E534">
        <v>87</v>
      </c>
      <c r="F534" t="s">
        <v>513</v>
      </c>
      <c r="G534">
        <v>7643</v>
      </c>
      <c r="I534" t="s">
        <v>539</v>
      </c>
    </row>
    <row r="535" spans="1:9" x14ac:dyDescent="0.3">
      <c r="A535" t="s">
        <v>378</v>
      </c>
      <c r="B535" t="s">
        <v>420</v>
      </c>
      <c r="D535" t="s">
        <v>540</v>
      </c>
      <c r="E535">
        <v>87</v>
      </c>
      <c r="F535" t="s">
        <v>513</v>
      </c>
      <c r="G535">
        <v>7644</v>
      </c>
      <c r="I535" t="s">
        <v>541</v>
      </c>
    </row>
    <row r="536" spans="1:9" x14ac:dyDescent="0.3">
      <c r="A536" t="s">
        <v>378</v>
      </c>
      <c r="B536" t="s">
        <v>420</v>
      </c>
      <c r="D536" t="s">
        <v>542</v>
      </c>
      <c r="E536">
        <v>87</v>
      </c>
      <c r="F536" t="s">
        <v>513</v>
      </c>
      <c r="G536">
        <v>7645</v>
      </c>
      <c r="I536" t="s">
        <v>543</v>
      </c>
    </row>
    <row r="537" spans="1:9" x14ac:dyDescent="0.3">
      <c r="A537" t="s">
        <v>378</v>
      </c>
      <c r="B537" t="s">
        <v>420</v>
      </c>
      <c r="D537" t="s">
        <v>515</v>
      </c>
      <c r="E537">
        <v>87</v>
      </c>
      <c r="F537" t="s">
        <v>516</v>
      </c>
      <c r="G537">
        <v>7646</v>
      </c>
      <c r="I537" t="s">
        <v>517</v>
      </c>
    </row>
    <row r="538" spans="1:9" x14ac:dyDescent="0.3">
      <c r="A538" t="s">
        <v>378</v>
      </c>
      <c r="B538" t="s">
        <v>420</v>
      </c>
      <c r="D538" t="s">
        <v>544</v>
      </c>
      <c r="E538">
        <v>87</v>
      </c>
      <c r="F538" t="s">
        <v>516</v>
      </c>
      <c r="G538">
        <v>7647</v>
      </c>
      <c r="I538" t="s">
        <v>545</v>
      </c>
    </row>
    <row r="539" spans="1:9" x14ac:dyDescent="0.3">
      <c r="A539" t="s">
        <v>378</v>
      </c>
      <c r="B539" t="s">
        <v>420</v>
      </c>
      <c r="D539" t="s">
        <v>546</v>
      </c>
      <c r="E539">
        <v>87</v>
      </c>
      <c r="F539" t="s">
        <v>516</v>
      </c>
      <c r="G539">
        <v>7648</v>
      </c>
      <c r="I539" t="s">
        <v>547</v>
      </c>
    </row>
    <row r="540" spans="1:9" x14ac:dyDescent="0.3">
      <c r="A540" t="s">
        <v>378</v>
      </c>
      <c r="B540" t="s">
        <v>420</v>
      </c>
      <c r="D540" t="s">
        <v>548</v>
      </c>
      <c r="E540">
        <v>87</v>
      </c>
      <c r="F540" t="s">
        <v>513</v>
      </c>
      <c r="G540">
        <v>7649</v>
      </c>
      <c r="I540" t="s">
        <v>549</v>
      </c>
    </row>
    <row r="541" spans="1:9" x14ac:dyDescent="0.3">
      <c r="A541" t="s">
        <v>381</v>
      </c>
      <c r="B541" t="s">
        <v>420</v>
      </c>
      <c r="D541" t="s">
        <v>502</v>
      </c>
      <c r="E541">
        <v>86</v>
      </c>
      <c r="F541" t="s">
        <v>427</v>
      </c>
      <c r="G541">
        <v>7599</v>
      </c>
      <c r="I541" t="s">
        <v>503</v>
      </c>
    </row>
    <row r="542" spans="1:9" x14ac:dyDescent="0.3">
      <c r="A542" t="s">
        <v>381</v>
      </c>
      <c r="B542" t="s">
        <v>420</v>
      </c>
      <c r="D542" t="s">
        <v>518</v>
      </c>
      <c r="E542">
        <v>86</v>
      </c>
      <c r="F542" t="s">
        <v>427</v>
      </c>
      <c r="G542">
        <v>7600</v>
      </c>
      <c r="I542" t="s">
        <v>519</v>
      </c>
    </row>
    <row r="543" spans="1:9" x14ac:dyDescent="0.3">
      <c r="A543" t="s">
        <v>381</v>
      </c>
      <c r="B543" t="s">
        <v>420</v>
      </c>
      <c r="D543" t="s">
        <v>520</v>
      </c>
      <c r="E543">
        <v>86</v>
      </c>
      <c r="F543" t="s">
        <v>427</v>
      </c>
      <c r="G543">
        <v>7601</v>
      </c>
      <c r="I543" t="s">
        <v>521</v>
      </c>
    </row>
    <row r="544" spans="1:9" x14ac:dyDescent="0.3">
      <c r="A544" t="s">
        <v>381</v>
      </c>
      <c r="B544" t="s">
        <v>420</v>
      </c>
      <c r="D544" t="s">
        <v>504</v>
      </c>
      <c r="E544">
        <v>86</v>
      </c>
      <c r="F544" t="s">
        <v>505</v>
      </c>
      <c r="G544">
        <v>7603</v>
      </c>
      <c r="I544" t="s">
        <v>506</v>
      </c>
    </row>
    <row r="545" spans="1:9" x14ac:dyDescent="0.3">
      <c r="A545" t="s">
        <v>381</v>
      </c>
      <c r="B545" t="s">
        <v>420</v>
      </c>
      <c r="D545" t="s">
        <v>522</v>
      </c>
      <c r="E545">
        <v>86</v>
      </c>
      <c r="F545" t="s">
        <v>505</v>
      </c>
      <c r="G545">
        <v>7604</v>
      </c>
      <c r="I545" t="s">
        <v>523</v>
      </c>
    </row>
    <row r="546" spans="1:9" x14ac:dyDescent="0.3">
      <c r="A546" t="s">
        <v>381</v>
      </c>
      <c r="B546" t="s">
        <v>420</v>
      </c>
      <c r="D546" t="s">
        <v>524</v>
      </c>
      <c r="E546">
        <v>86</v>
      </c>
      <c r="F546" t="s">
        <v>505</v>
      </c>
      <c r="G546">
        <v>7605</v>
      </c>
      <c r="I546" t="s">
        <v>525</v>
      </c>
    </row>
    <row r="547" spans="1:9" x14ac:dyDescent="0.3">
      <c r="A547" t="s">
        <v>381</v>
      </c>
      <c r="B547" t="s">
        <v>420</v>
      </c>
      <c r="D547" t="s">
        <v>526</v>
      </c>
      <c r="E547">
        <v>86</v>
      </c>
      <c r="F547" t="s">
        <v>505</v>
      </c>
      <c r="G547">
        <v>7606</v>
      </c>
      <c r="I547" t="s">
        <v>527</v>
      </c>
    </row>
    <row r="548" spans="1:9" x14ac:dyDescent="0.3">
      <c r="A548" t="s">
        <v>381</v>
      </c>
      <c r="B548" t="s">
        <v>420</v>
      </c>
      <c r="D548" t="s">
        <v>507</v>
      </c>
      <c r="E548">
        <v>86</v>
      </c>
      <c r="F548" t="s">
        <v>508</v>
      </c>
      <c r="G548">
        <v>7607</v>
      </c>
      <c r="I548" t="s">
        <v>509</v>
      </c>
    </row>
    <row r="549" spans="1:9" x14ac:dyDescent="0.3">
      <c r="A549" t="s">
        <v>381</v>
      </c>
      <c r="B549" t="s">
        <v>420</v>
      </c>
      <c r="D549" t="s">
        <v>528</v>
      </c>
      <c r="E549">
        <v>86</v>
      </c>
      <c r="F549" t="s">
        <v>508</v>
      </c>
      <c r="G549">
        <v>7608</v>
      </c>
      <c r="I549" t="s">
        <v>529</v>
      </c>
    </row>
    <row r="550" spans="1:9" x14ac:dyDescent="0.3">
      <c r="A550" t="s">
        <v>381</v>
      </c>
      <c r="B550" t="s">
        <v>420</v>
      </c>
      <c r="D550" t="s">
        <v>530</v>
      </c>
      <c r="E550">
        <v>86</v>
      </c>
      <c r="F550" t="s">
        <v>508</v>
      </c>
      <c r="G550">
        <v>7609</v>
      </c>
      <c r="I550" t="s">
        <v>531</v>
      </c>
    </row>
    <row r="551" spans="1:9" x14ac:dyDescent="0.3">
      <c r="A551" t="s">
        <v>381</v>
      </c>
      <c r="B551" t="s">
        <v>420</v>
      </c>
      <c r="D551" t="s">
        <v>532</v>
      </c>
      <c r="E551">
        <v>86</v>
      </c>
      <c r="F551" t="s">
        <v>508</v>
      </c>
      <c r="G551">
        <v>7610</v>
      </c>
      <c r="I551" t="s">
        <v>533</v>
      </c>
    </row>
    <row r="552" spans="1:9" x14ac:dyDescent="0.3">
      <c r="A552" t="s">
        <v>381</v>
      </c>
      <c r="B552" t="s">
        <v>420</v>
      </c>
      <c r="D552" t="s">
        <v>510</v>
      </c>
      <c r="E552">
        <v>86</v>
      </c>
      <c r="F552" t="s">
        <v>431</v>
      </c>
      <c r="G552">
        <v>7611</v>
      </c>
      <c r="I552" t="s">
        <v>511</v>
      </c>
    </row>
    <row r="553" spans="1:9" x14ac:dyDescent="0.3">
      <c r="A553" t="s">
        <v>381</v>
      </c>
      <c r="B553" t="s">
        <v>420</v>
      </c>
      <c r="D553" t="s">
        <v>534</v>
      </c>
      <c r="E553">
        <v>86</v>
      </c>
      <c r="F553" t="s">
        <v>431</v>
      </c>
      <c r="G553">
        <v>7612</v>
      </c>
      <c r="I553" t="s">
        <v>535</v>
      </c>
    </row>
    <row r="554" spans="1:9" x14ac:dyDescent="0.3">
      <c r="A554" t="s">
        <v>381</v>
      </c>
      <c r="B554" t="s">
        <v>420</v>
      </c>
      <c r="D554" t="s">
        <v>536</v>
      </c>
      <c r="E554">
        <v>86</v>
      </c>
      <c r="F554" t="s">
        <v>431</v>
      </c>
      <c r="G554">
        <v>7613</v>
      </c>
      <c r="I554" t="s">
        <v>537</v>
      </c>
    </row>
    <row r="555" spans="1:9" x14ac:dyDescent="0.3">
      <c r="A555" t="s">
        <v>381</v>
      </c>
      <c r="B555" t="s">
        <v>420</v>
      </c>
      <c r="D555" t="s">
        <v>512</v>
      </c>
      <c r="E555">
        <v>86</v>
      </c>
      <c r="F555" t="s">
        <v>513</v>
      </c>
      <c r="G555">
        <v>7615</v>
      </c>
      <c r="I555" t="s">
        <v>514</v>
      </c>
    </row>
    <row r="556" spans="1:9" x14ac:dyDescent="0.3">
      <c r="A556" t="s">
        <v>381</v>
      </c>
      <c r="B556" t="s">
        <v>420</v>
      </c>
      <c r="D556" t="s">
        <v>538</v>
      </c>
      <c r="E556">
        <v>86</v>
      </c>
      <c r="F556" t="s">
        <v>513</v>
      </c>
      <c r="G556">
        <v>7616</v>
      </c>
      <c r="I556" t="s">
        <v>539</v>
      </c>
    </row>
    <row r="557" spans="1:9" x14ac:dyDescent="0.3">
      <c r="A557" t="s">
        <v>381</v>
      </c>
      <c r="B557" t="s">
        <v>420</v>
      </c>
      <c r="D557" t="s">
        <v>540</v>
      </c>
      <c r="E557">
        <v>86</v>
      </c>
      <c r="F557" t="s">
        <v>513</v>
      </c>
      <c r="G557">
        <v>7617</v>
      </c>
      <c r="I557" t="s">
        <v>541</v>
      </c>
    </row>
    <row r="558" spans="1:9" x14ac:dyDescent="0.3">
      <c r="A558" t="s">
        <v>381</v>
      </c>
      <c r="B558" t="s">
        <v>420</v>
      </c>
      <c r="D558" t="s">
        <v>542</v>
      </c>
      <c r="E558">
        <v>86</v>
      </c>
      <c r="F558" t="s">
        <v>513</v>
      </c>
      <c r="G558">
        <v>7618</v>
      </c>
      <c r="I558" t="s">
        <v>543</v>
      </c>
    </row>
    <row r="559" spans="1:9" x14ac:dyDescent="0.3">
      <c r="A559" t="s">
        <v>381</v>
      </c>
      <c r="B559" t="s">
        <v>420</v>
      </c>
      <c r="D559" t="s">
        <v>515</v>
      </c>
      <c r="E559">
        <v>86</v>
      </c>
      <c r="F559" t="s">
        <v>516</v>
      </c>
      <c r="G559">
        <v>7619</v>
      </c>
      <c r="I559" t="s">
        <v>517</v>
      </c>
    </row>
    <row r="560" spans="1:9" x14ac:dyDescent="0.3">
      <c r="A560" t="s">
        <v>381</v>
      </c>
      <c r="B560" t="s">
        <v>420</v>
      </c>
      <c r="D560" t="s">
        <v>544</v>
      </c>
      <c r="E560">
        <v>86</v>
      </c>
      <c r="F560" t="s">
        <v>516</v>
      </c>
      <c r="G560">
        <v>7620</v>
      </c>
      <c r="I560" t="s">
        <v>545</v>
      </c>
    </row>
    <row r="561" spans="1:9" x14ac:dyDescent="0.3">
      <c r="A561" t="s">
        <v>381</v>
      </c>
      <c r="B561" t="s">
        <v>420</v>
      </c>
      <c r="D561" t="s">
        <v>546</v>
      </c>
      <c r="E561">
        <v>86</v>
      </c>
      <c r="F561" t="s">
        <v>516</v>
      </c>
      <c r="G561">
        <v>7621</v>
      </c>
      <c r="I561" t="s">
        <v>547</v>
      </c>
    </row>
    <row r="562" spans="1:9" x14ac:dyDescent="0.3">
      <c r="A562" t="s">
        <v>381</v>
      </c>
      <c r="B562" t="s">
        <v>420</v>
      </c>
      <c r="D562" t="s">
        <v>548</v>
      </c>
      <c r="E562">
        <v>86</v>
      </c>
      <c r="F562" t="s">
        <v>513</v>
      </c>
      <c r="G562">
        <v>7622</v>
      </c>
      <c r="I562" t="s">
        <v>549</v>
      </c>
    </row>
    <row r="563" spans="1:9" x14ac:dyDescent="0.3">
      <c r="A563" t="s">
        <v>381</v>
      </c>
      <c r="B563" t="s">
        <v>420</v>
      </c>
      <c r="D563" t="s">
        <v>550</v>
      </c>
      <c r="E563">
        <v>86</v>
      </c>
      <c r="F563" t="s">
        <v>427</v>
      </c>
      <c r="G563">
        <v>7602</v>
      </c>
      <c r="I563" t="s">
        <v>551</v>
      </c>
    </row>
    <row r="564" spans="1:9" x14ac:dyDescent="0.3">
      <c r="A564" t="s">
        <v>381</v>
      </c>
      <c r="B564" t="s">
        <v>420</v>
      </c>
      <c r="D564" t="s">
        <v>552</v>
      </c>
      <c r="E564">
        <v>86</v>
      </c>
      <c r="F564" t="s">
        <v>431</v>
      </c>
      <c r="G564">
        <v>7614</v>
      </c>
      <c r="I564" t="s">
        <v>553</v>
      </c>
    </row>
    <row r="565" spans="1:9" x14ac:dyDescent="0.3">
      <c r="A565" t="s">
        <v>367</v>
      </c>
      <c r="B565" t="s">
        <v>420</v>
      </c>
      <c r="D565" t="s">
        <v>502</v>
      </c>
      <c r="E565">
        <v>85</v>
      </c>
      <c r="F565" t="s">
        <v>427</v>
      </c>
      <c r="G565">
        <v>7590</v>
      </c>
      <c r="I565" t="s">
        <v>503</v>
      </c>
    </row>
    <row r="566" spans="1:9" x14ac:dyDescent="0.3">
      <c r="A566" t="s">
        <v>367</v>
      </c>
      <c r="B566" t="s">
        <v>420</v>
      </c>
      <c r="D566" t="s">
        <v>504</v>
      </c>
      <c r="E566">
        <v>85</v>
      </c>
      <c r="F566" t="s">
        <v>505</v>
      </c>
      <c r="G566">
        <v>7591</v>
      </c>
      <c r="I566" t="s">
        <v>506</v>
      </c>
    </row>
    <row r="567" spans="1:9" x14ac:dyDescent="0.3">
      <c r="A567" t="s">
        <v>367</v>
      </c>
      <c r="B567" t="s">
        <v>420</v>
      </c>
      <c r="D567" t="s">
        <v>507</v>
      </c>
      <c r="E567">
        <v>85</v>
      </c>
      <c r="F567" t="s">
        <v>508</v>
      </c>
      <c r="G567">
        <v>7592</v>
      </c>
      <c r="I567" t="s">
        <v>509</v>
      </c>
    </row>
    <row r="568" spans="1:9" x14ac:dyDescent="0.3">
      <c r="A568" t="s">
        <v>367</v>
      </c>
      <c r="B568" t="s">
        <v>420</v>
      </c>
      <c r="D568" t="s">
        <v>510</v>
      </c>
      <c r="E568">
        <v>85</v>
      </c>
      <c r="F568" t="s">
        <v>431</v>
      </c>
      <c r="G568">
        <v>7593</v>
      </c>
      <c r="I568" t="s">
        <v>511</v>
      </c>
    </row>
    <row r="569" spans="1:9" x14ac:dyDescent="0.3">
      <c r="A569" t="s">
        <v>367</v>
      </c>
      <c r="B569" t="s">
        <v>420</v>
      </c>
      <c r="D569" t="s">
        <v>512</v>
      </c>
      <c r="E569">
        <v>85</v>
      </c>
      <c r="F569" t="s">
        <v>513</v>
      </c>
      <c r="G569">
        <v>7594</v>
      </c>
      <c r="I569" t="s">
        <v>514</v>
      </c>
    </row>
    <row r="570" spans="1:9" x14ac:dyDescent="0.3">
      <c r="A570" t="s">
        <v>367</v>
      </c>
      <c r="B570" t="s">
        <v>420</v>
      </c>
      <c r="D570" t="s">
        <v>515</v>
      </c>
      <c r="E570">
        <v>85</v>
      </c>
      <c r="F570" t="s">
        <v>516</v>
      </c>
      <c r="G570">
        <v>7595</v>
      </c>
      <c r="I570" t="s">
        <v>517</v>
      </c>
    </row>
    <row r="571" spans="1:9" x14ac:dyDescent="0.3">
      <c r="A571" t="s">
        <v>367</v>
      </c>
      <c r="B571" t="s">
        <v>420</v>
      </c>
      <c r="D571" t="s">
        <v>504</v>
      </c>
      <c r="E571">
        <v>84</v>
      </c>
      <c r="F571" t="s">
        <v>505</v>
      </c>
      <c r="G571">
        <v>7582</v>
      </c>
      <c r="I571" t="s">
        <v>506</v>
      </c>
    </row>
    <row r="572" spans="1:9" x14ac:dyDescent="0.3">
      <c r="A572" t="s">
        <v>367</v>
      </c>
      <c r="B572" t="s">
        <v>420</v>
      </c>
      <c r="D572" t="s">
        <v>507</v>
      </c>
      <c r="E572">
        <v>84</v>
      </c>
      <c r="F572" t="s">
        <v>508</v>
      </c>
      <c r="G572">
        <v>7583</v>
      </c>
      <c r="I572" t="s">
        <v>509</v>
      </c>
    </row>
    <row r="573" spans="1:9" x14ac:dyDescent="0.3">
      <c r="A573" t="s">
        <v>367</v>
      </c>
      <c r="B573" t="s">
        <v>420</v>
      </c>
      <c r="D573" t="s">
        <v>510</v>
      </c>
      <c r="E573">
        <v>84</v>
      </c>
      <c r="F573" t="s">
        <v>431</v>
      </c>
      <c r="G573">
        <v>7584</v>
      </c>
      <c r="I573" t="s">
        <v>511</v>
      </c>
    </row>
    <row r="574" spans="1:9" x14ac:dyDescent="0.3">
      <c r="A574" t="s">
        <v>367</v>
      </c>
      <c r="B574" t="s">
        <v>420</v>
      </c>
      <c r="D574" t="s">
        <v>512</v>
      </c>
      <c r="E574">
        <v>84</v>
      </c>
      <c r="F574" t="s">
        <v>513</v>
      </c>
      <c r="G574">
        <v>7585</v>
      </c>
      <c r="I574" t="s">
        <v>514</v>
      </c>
    </row>
    <row r="575" spans="1:9" x14ac:dyDescent="0.3">
      <c r="A575" t="s">
        <v>367</v>
      </c>
      <c r="B575" t="s">
        <v>420</v>
      </c>
      <c r="D575" t="s">
        <v>515</v>
      </c>
      <c r="E575">
        <v>84</v>
      </c>
      <c r="F575" t="s">
        <v>516</v>
      </c>
      <c r="G575">
        <v>7586</v>
      </c>
      <c r="I575" t="s">
        <v>517</v>
      </c>
    </row>
    <row r="576" spans="1:9" x14ac:dyDescent="0.3">
      <c r="A576" t="s">
        <v>367</v>
      </c>
      <c r="B576" t="s">
        <v>420</v>
      </c>
      <c r="D576" t="s">
        <v>502</v>
      </c>
      <c r="E576">
        <v>84</v>
      </c>
      <c r="F576" t="s">
        <v>427</v>
      </c>
      <c r="G576">
        <v>7581</v>
      </c>
      <c r="I576" t="s">
        <v>503</v>
      </c>
    </row>
    <row r="577" spans="1:9" x14ac:dyDescent="0.3">
      <c r="A577" t="s">
        <v>386</v>
      </c>
      <c r="B577" t="s">
        <v>420</v>
      </c>
      <c r="D577" t="s">
        <v>502</v>
      </c>
      <c r="E577">
        <v>83</v>
      </c>
      <c r="F577" t="s">
        <v>427</v>
      </c>
      <c r="G577">
        <v>7572</v>
      </c>
      <c r="I577" t="s">
        <v>503</v>
      </c>
    </row>
    <row r="578" spans="1:9" x14ac:dyDescent="0.3">
      <c r="A578" t="s">
        <v>386</v>
      </c>
      <c r="B578" t="s">
        <v>420</v>
      </c>
      <c r="D578" t="s">
        <v>510</v>
      </c>
      <c r="E578">
        <v>83</v>
      </c>
      <c r="F578" t="s">
        <v>431</v>
      </c>
      <c r="G578">
        <v>7575</v>
      </c>
      <c r="I578" t="s">
        <v>511</v>
      </c>
    </row>
    <row r="579" spans="1:9" x14ac:dyDescent="0.3">
      <c r="A579" t="s">
        <v>386</v>
      </c>
      <c r="B579" t="s">
        <v>420</v>
      </c>
      <c r="D579" t="s">
        <v>504</v>
      </c>
      <c r="E579">
        <v>83</v>
      </c>
      <c r="F579" t="s">
        <v>505</v>
      </c>
      <c r="G579">
        <v>7573</v>
      </c>
      <c r="I579" t="s">
        <v>506</v>
      </c>
    </row>
    <row r="580" spans="1:9" x14ac:dyDescent="0.3">
      <c r="A580" t="s">
        <v>386</v>
      </c>
      <c r="B580" t="s">
        <v>420</v>
      </c>
      <c r="D580" t="s">
        <v>507</v>
      </c>
      <c r="E580">
        <v>83</v>
      </c>
      <c r="F580" t="s">
        <v>508</v>
      </c>
      <c r="G580">
        <v>7574</v>
      </c>
      <c r="I580" t="s">
        <v>509</v>
      </c>
    </row>
    <row r="581" spans="1:9" x14ac:dyDescent="0.3">
      <c r="A581" t="s">
        <v>386</v>
      </c>
      <c r="B581" t="s">
        <v>420</v>
      </c>
      <c r="D581" t="s">
        <v>512</v>
      </c>
      <c r="E581">
        <v>83</v>
      </c>
      <c r="F581" t="s">
        <v>513</v>
      </c>
      <c r="G581">
        <v>7576</v>
      </c>
      <c r="I581" t="s">
        <v>514</v>
      </c>
    </row>
    <row r="582" spans="1:9" x14ac:dyDescent="0.3">
      <c r="A582" t="s">
        <v>386</v>
      </c>
      <c r="B582" t="s">
        <v>420</v>
      </c>
      <c r="D582" t="s">
        <v>515</v>
      </c>
      <c r="E582">
        <v>83</v>
      </c>
      <c r="F582" t="s">
        <v>516</v>
      </c>
      <c r="G582">
        <v>7577</v>
      </c>
      <c r="I582" t="s">
        <v>517</v>
      </c>
    </row>
    <row r="583" spans="1:9" x14ac:dyDescent="0.3">
      <c r="A583" t="s">
        <v>367</v>
      </c>
      <c r="B583" t="s">
        <v>420</v>
      </c>
      <c r="D583" t="s">
        <v>550</v>
      </c>
      <c r="E583">
        <v>82</v>
      </c>
      <c r="F583" t="s">
        <v>427</v>
      </c>
      <c r="G583">
        <v>7548</v>
      </c>
      <c r="I583" t="s">
        <v>551</v>
      </c>
    </row>
    <row r="584" spans="1:9" x14ac:dyDescent="0.3">
      <c r="A584" t="s">
        <v>367</v>
      </c>
      <c r="B584" t="s">
        <v>420</v>
      </c>
      <c r="D584" t="s">
        <v>552</v>
      </c>
      <c r="E584">
        <v>82</v>
      </c>
      <c r="F584" t="s">
        <v>431</v>
      </c>
      <c r="G584">
        <v>7560</v>
      </c>
      <c r="I584" t="s">
        <v>553</v>
      </c>
    </row>
    <row r="585" spans="1:9" x14ac:dyDescent="0.3">
      <c r="A585" t="s">
        <v>367</v>
      </c>
      <c r="B585" t="s">
        <v>420</v>
      </c>
      <c r="D585" t="s">
        <v>502</v>
      </c>
      <c r="E585">
        <v>82</v>
      </c>
      <c r="F585" t="s">
        <v>427</v>
      </c>
      <c r="G585">
        <v>7545</v>
      </c>
      <c r="I585" t="s">
        <v>503</v>
      </c>
    </row>
    <row r="586" spans="1:9" x14ac:dyDescent="0.3">
      <c r="A586" t="s">
        <v>367</v>
      </c>
      <c r="B586" t="s">
        <v>420</v>
      </c>
      <c r="D586" t="s">
        <v>518</v>
      </c>
      <c r="E586">
        <v>82</v>
      </c>
      <c r="F586" t="s">
        <v>427</v>
      </c>
      <c r="G586">
        <v>7546</v>
      </c>
      <c r="I586" t="s">
        <v>519</v>
      </c>
    </row>
    <row r="587" spans="1:9" x14ac:dyDescent="0.3">
      <c r="A587" t="s">
        <v>367</v>
      </c>
      <c r="B587" t="s">
        <v>420</v>
      </c>
      <c r="D587" t="s">
        <v>520</v>
      </c>
      <c r="E587">
        <v>82</v>
      </c>
      <c r="F587" t="s">
        <v>427</v>
      </c>
      <c r="G587">
        <v>7547</v>
      </c>
      <c r="I587" t="s">
        <v>521</v>
      </c>
    </row>
    <row r="588" spans="1:9" x14ac:dyDescent="0.3">
      <c r="A588" t="s">
        <v>367</v>
      </c>
      <c r="B588" t="s">
        <v>420</v>
      </c>
      <c r="D588" t="s">
        <v>504</v>
      </c>
      <c r="E588">
        <v>82</v>
      </c>
      <c r="F588" t="s">
        <v>505</v>
      </c>
      <c r="G588">
        <v>7549</v>
      </c>
      <c r="I588" t="s">
        <v>506</v>
      </c>
    </row>
    <row r="589" spans="1:9" x14ac:dyDescent="0.3">
      <c r="A589" t="s">
        <v>367</v>
      </c>
      <c r="B589" t="s">
        <v>420</v>
      </c>
      <c r="D589" t="s">
        <v>522</v>
      </c>
      <c r="E589">
        <v>82</v>
      </c>
      <c r="F589" t="s">
        <v>505</v>
      </c>
      <c r="G589">
        <v>7550</v>
      </c>
      <c r="I589" t="s">
        <v>523</v>
      </c>
    </row>
    <row r="590" spans="1:9" x14ac:dyDescent="0.3">
      <c r="A590" t="s">
        <v>367</v>
      </c>
      <c r="B590" t="s">
        <v>420</v>
      </c>
      <c r="D590" t="s">
        <v>524</v>
      </c>
      <c r="E590">
        <v>82</v>
      </c>
      <c r="F590" t="s">
        <v>505</v>
      </c>
      <c r="G590">
        <v>7551</v>
      </c>
      <c r="I590" t="s">
        <v>525</v>
      </c>
    </row>
    <row r="591" spans="1:9" x14ac:dyDescent="0.3">
      <c r="A591" t="s">
        <v>367</v>
      </c>
      <c r="B591" t="s">
        <v>420</v>
      </c>
      <c r="D591" t="s">
        <v>526</v>
      </c>
      <c r="E591">
        <v>82</v>
      </c>
      <c r="F591" t="s">
        <v>505</v>
      </c>
      <c r="G591">
        <v>7552</v>
      </c>
      <c r="I591" t="s">
        <v>527</v>
      </c>
    </row>
    <row r="592" spans="1:9" x14ac:dyDescent="0.3">
      <c r="A592" t="s">
        <v>367</v>
      </c>
      <c r="B592" t="s">
        <v>420</v>
      </c>
      <c r="D592" t="s">
        <v>507</v>
      </c>
      <c r="E592">
        <v>82</v>
      </c>
      <c r="F592" t="s">
        <v>508</v>
      </c>
      <c r="G592">
        <v>7553</v>
      </c>
      <c r="I592" t="s">
        <v>509</v>
      </c>
    </row>
    <row r="593" spans="1:9" x14ac:dyDescent="0.3">
      <c r="A593" t="s">
        <v>367</v>
      </c>
      <c r="B593" t="s">
        <v>420</v>
      </c>
      <c r="D593" t="s">
        <v>528</v>
      </c>
      <c r="E593">
        <v>82</v>
      </c>
      <c r="F593" t="s">
        <v>508</v>
      </c>
      <c r="G593">
        <v>7554</v>
      </c>
      <c r="I593" t="s">
        <v>529</v>
      </c>
    </row>
    <row r="594" spans="1:9" x14ac:dyDescent="0.3">
      <c r="A594" t="s">
        <v>367</v>
      </c>
      <c r="B594" t="s">
        <v>420</v>
      </c>
      <c r="D594" t="s">
        <v>530</v>
      </c>
      <c r="E594">
        <v>82</v>
      </c>
      <c r="F594" t="s">
        <v>508</v>
      </c>
      <c r="G594">
        <v>7555</v>
      </c>
      <c r="I594" t="s">
        <v>531</v>
      </c>
    </row>
    <row r="595" spans="1:9" x14ac:dyDescent="0.3">
      <c r="A595" t="s">
        <v>367</v>
      </c>
      <c r="B595" t="s">
        <v>420</v>
      </c>
      <c r="D595" t="s">
        <v>532</v>
      </c>
      <c r="E595">
        <v>82</v>
      </c>
      <c r="F595" t="s">
        <v>508</v>
      </c>
      <c r="G595">
        <v>7556</v>
      </c>
      <c r="I595" t="s">
        <v>533</v>
      </c>
    </row>
    <row r="596" spans="1:9" x14ac:dyDescent="0.3">
      <c r="A596" t="s">
        <v>367</v>
      </c>
      <c r="B596" t="s">
        <v>420</v>
      </c>
      <c r="D596" t="s">
        <v>510</v>
      </c>
      <c r="E596">
        <v>82</v>
      </c>
      <c r="F596" t="s">
        <v>431</v>
      </c>
      <c r="G596">
        <v>7557</v>
      </c>
      <c r="I596" t="s">
        <v>511</v>
      </c>
    </row>
    <row r="597" spans="1:9" x14ac:dyDescent="0.3">
      <c r="A597" t="s">
        <v>367</v>
      </c>
      <c r="B597" t="s">
        <v>420</v>
      </c>
      <c r="D597" t="s">
        <v>534</v>
      </c>
      <c r="E597">
        <v>82</v>
      </c>
      <c r="F597" t="s">
        <v>431</v>
      </c>
      <c r="G597">
        <v>7558</v>
      </c>
      <c r="I597" t="s">
        <v>535</v>
      </c>
    </row>
    <row r="598" spans="1:9" x14ac:dyDescent="0.3">
      <c r="A598" t="s">
        <v>367</v>
      </c>
      <c r="B598" t="s">
        <v>420</v>
      </c>
      <c r="D598" t="s">
        <v>536</v>
      </c>
      <c r="E598">
        <v>82</v>
      </c>
      <c r="F598" t="s">
        <v>431</v>
      </c>
      <c r="G598">
        <v>7559</v>
      </c>
      <c r="I598" t="s">
        <v>537</v>
      </c>
    </row>
    <row r="599" spans="1:9" x14ac:dyDescent="0.3">
      <c r="A599" t="s">
        <v>367</v>
      </c>
      <c r="B599" t="s">
        <v>420</v>
      </c>
      <c r="D599" t="s">
        <v>512</v>
      </c>
      <c r="E599">
        <v>82</v>
      </c>
      <c r="F599" t="s">
        <v>513</v>
      </c>
      <c r="G599">
        <v>7561</v>
      </c>
      <c r="I599" t="s">
        <v>514</v>
      </c>
    </row>
    <row r="600" spans="1:9" x14ac:dyDescent="0.3">
      <c r="A600" t="s">
        <v>367</v>
      </c>
      <c r="B600" t="s">
        <v>420</v>
      </c>
      <c r="D600" t="s">
        <v>538</v>
      </c>
      <c r="E600">
        <v>82</v>
      </c>
      <c r="F600" t="s">
        <v>513</v>
      </c>
      <c r="G600">
        <v>7562</v>
      </c>
      <c r="I600" t="s">
        <v>539</v>
      </c>
    </row>
    <row r="601" spans="1:9" x14ac:dyDescent="0.3">
      <c r="A601" t="s">
        <v>367</v>
      </c>
      <c r="B601" t="s">
        <v>420</v>
      </c>
      <c r="D601" t="s">
        <v>540</v>
      </c>
      <c r="E601">
        <v>82</v>
      </c>
      <c r="F601" t="s">
        <v>513</v>
      </c>
      <c r="G601">
        <v>7563</v>
      </c>
      <c r="I601" t="s">
        <v>541</v>
      </c>
    </row>
    <row r="602" spans="1:9" x14ac:dyDescent="0.3">
      <c r="A602" t="s">
        <v>367</v>
      </c>
      <c r="B602" t="s">
        <v>420</v>
      </c>
      <c r="D602" t="s">
        <v>542</v>
      </c>
      <c r="E602">
        <v>82</v>
      </c>
      <c r="F602" t="s">
        <v>513</v>
      </c>
      <c r="G602">
        <v>7564</v>
      </c>
      <c r="I602" t="s">
        <v>543</v>
      </c>
    </row>
    <row r="603" spans="1:9" x14ac:dyDescent="0.3">
      <c r="A603" t="s">
        <v>367</v>
      </c>
      <c r="B603" t="s">
        <v>420</v>
      </c>
      <c r="D603" t="s">
        <v>515</v>
      </c>
      <c r="E603">
        <v>82</v>
      </c>
      <c r="F603" t="s">
        <v>516</v>
      </c>
      <c r="G603">
        <v>7565</v>
      </c>
      <c r="I603" t="s">
        <v>517</v>
      </c>
    </row>
    <row r="604" spans="1:9" x14ac:dyDescent="0.3">
      <c r="A604" t="s">
        <v>367</v>
      </c>
      <c r="B604" t="s">
        <v>420</v>
      </c>
      <c r="D604" t="s">
        <v>544</v>
      </c>
      <c r="E604">
        <v>82</v>
      </c>
      <c r="F604" t="s">
        <v>516</v>
      </c>
      <c r="G604">
        <v>7566</v>
      </c>
      <c r="I604" t="s">
        <v>545</v>
      </c>
    </row>
    <row r="605" spans="1:9" x14ac:dyDescent="0.3">
      <c r="A605" t="s">
        <v>367</v>
      </c>
      <c r="B605" t="s">
        <v>420</v>
      </c>
      <c r="D605" t="s">
        <v>546</v>
      </c>
      <c r="E605">
        <v>82</v>
      </c>
      <c r="F605" t="s">
        <v>516</v>
      </c>
      <c r="G605">
        <v>7567</v>
      </c>
      <c r="I605" t="s">
        <v>547</v>
      </c>
    </row>
    <row r="606" spans="1:9" x14ac:dyDescent="0.3">
      <c r="A606" t="s">
        <v>367</v>
      </c>
      <c r="B606" t="s">
        <v>420</v>
      </c>
      <c r="D606" t="s">
        <v>548</v>
      </c>
      <c r="E606">
        <v>82</v>
      </c>
      <c r="F606" t="s">
        <v>513</v>
      </c>
      <c r="G606">
        <v>7568</v>
      </c>
      <c r="I606" t="s">
        <v>549</v>
      </c>
    </row>
    <row r="607" spans="1:9" x14ac:dyDescent="0.3">
      <c r="A607" t="s">
        <v>554</v>
      </c>
      <c r="B607" t="s">
        <v>461</v>
      </c>
      <c r="D607" t="s">
        <v>555</v>
      </c>
      <c r="E607">
        <v>55</v>
      </c>
      <c r="F607" t="s">
        <v>294</v>
      </c>
      <c r="G607">
        <v>7286</v>
      </c>
      <c r="I607" t="s">
        <v>556</v>
      </c>
    </row>
    <row r="608" spans="1:9" x14ac:dyDescent="0.3">
      <c r="A608" t="s">
        <v>554</v>
      </c>
      <c r="B608" t="s">
        <v>461</v>
      </c>
      <c r="D608" t="s">
        <v>557</v>
      </c>
      <c r="E608">
        <v>55</v>
      </c>
      <c r="F608" t="s">
        <v>294</v>
      </c>
      <c r="G608">
        <v>7287</v>
      </c>
      <c r="I608" t="s">
        <v>558</v>
      </c>
    </row>
    <row r="609" spans="1:9" x14ac:dyDescent="0.3">
      <c r="A609" t="s">
        <v>554</v>
      </c>
      <c r="B609" t="s">
        <v>461</v>
      </c>
      <c r="D609" t="s">
        <v>559</v>
      </c>
      <c r="E609">
        <v>55</v>
      </c>
      <c r="F609" t="s">
        <v>294</v>
      </c>
      <c r="G609">
        <v>7288</v>
      </c>
      <c r="I609" t="s">
        <v>560</v>
      </c>
    </row>
    <row r="610" spans="1:9" x14ac:dyDescent="0.3">
      <c r="A610" t="s">
        <v>554</v>
      </c>
      <c r="B610" t="s">
        <v>461</v>
      </c>
      <c r="D610" t="s">
        <v>561</v>
      </c>
      <c r="E610">
        <v>55</v>
      </c>
      <c r="F610" t="s">
        <v>294</v>
      </c>
      <c r="G610">
        <v>7289</v>
      </c>
      <c r="I610" t="s">
        <v>562</v>
      </c>
    </row>
    <row r="611" spans="1:9" x14ac:dyDescent="0.3">
      <c r="A611" t="s">
        <v>554</v>
      </c>
      <c r="B611" t="s">
        <v>461</v>
      </c>
      <c r="D611" t="s">
        <v>563</v>
      </c>
      <c r="E611">
        <v>55</v>
      </c>
      <c r="F611" t="s">
        <v>294</v>
      </c>
      <c r="G611">
        <v>7290</v>
      </c>
      <c r="I611" t="s">
        <v>564</v>
      </c>
    </row>
    <row r="612" spans="1:9" x14ac:dyDescent="0.3">
      <c r="A612" t="s">
        <v>554</v>
      </c>
      <c r="B612" t="s">
        <v>461</v>
      </c>
      <c r="D612" t="s">
        <v>565</v>
      </c>
      <c r="E612">
        <v>55</v>
      </c>
      <c r="F612" t="s">
        <v>294</v>
      </c>
      <c r="G612">
        <v>7291</v>
      </c>
      <c r="I612" t="s">
        <v>566</v>
      </c>
    </row>
    <row r="613" spans="1:9" x14ac:dyDescent="0.3">
      <c r="A613" t="s">
        <v>554</v>
      </c>
      <c r="B613" t="s">
        <v>461</v>
      </c>
      <c r="D613" t="s">
        <v>567</v>
      </c>
      <c r="E613">
        <v>55</v>
      </c>
      <c r="F613" t="s">
        <v>294</v>
      </c>
      <c r="G613">
        <v>7292</v>
      </c>
      <c r="I613" t="s">
        <v>568</v>
      </c>
    </row>
    <row r="614" spans="1:9" x14ac:dyDescent="0.3">
      <c r="A614" t="s">
        <v>554</v>
      </c>
      <c r="B614" t="s">
        <v>461</v>
      </c>
      <c r="D614" t="s">
        <v>569</v>
      </c>
      <c r="E614">
        <v>55</v>
      </c>
      <c r="F614" t="s">
        <v>294</v>
      </c>
      <c r="G614">
        <v>7293</v>
      </c>
      <c r="I614" t="s">
        <v>570</v>
      </c>
    </row>
    <row r="615" spans="1:9" x14ac:dyDescent="0.3">
      <c r="A615" t="s">
        <v>397</v>
      </c>
      <c r="B615" t="s">
        <v>461</v>
      </c>
      <c r="D615" t="s">
        <v>571</v>
      </c>
      <c r="E615">
        <v>45</v>
      </c>
      <c r="F615" t="s">
        <v>294</v>
      </c>
      <c r="G615">
        <v>320</v>
      </c>
      <c r="I615" t="s">
        <v>572</v>
      </c>
    </row>
    <row r="616" spans="1:9" x14ac:dyDescent="0.3">
      <c r="A616" t="s">
        <v>397</v>
      </c>
      <c r="B616" t="s">
        <v>461</v>
      </c>
      <c r="D616" t="s">
        <v>573</v>
      </c>
      <c r="E616">
        <v>45</v>
      </c>
      <c r="F616" t="s">
        <v>294</v>
      </c>
      <c r="G616">
        <v>321</v>
      </c>
      <c r="I616" t="s">
        <v>574</v>
      </c>
    </row>
    <row r="617" spans="1:9" x14ac:dyDescent="0.3">
      <c r="A617" t="s">
        <v>575</v>
      </c>
      <c r="B617" t="s">
        <v>461</v>
      </c>
      <c r="D617" t="s">
        <v>571</v>
      </c>
      <c r="E617">
        <v>44</v>
      </c>
      <c r="F617" t="s">
        <v>294</v>
      </c>
      <c r="G617">
        <v>309</v>
      </c>
      <c r="I617" t="s">
        <v>576</v>
      </c>
    </row>
    <row r="618" spans="1:9" x14ac:dyDescent="0.3">
      <c r="A618" t="s">
        <v>575</v>
      </c>
      <c r="B618" t="s">
        <v>461</v>
      </c>
      <c r="D618" t="s">
        <v>573</v>
      </c>
      <c r="E618">
        <v>44</v>
      </c>
      <c r="F618" t="s">
        <v>294</v>
      </c>
      <c r="G618">
        <v>310</v>
      </c>
      <c r="I618" t="s">
        <v>574</v>
      </c>
    </row>
    <row r="619" spans="1:9" x14ac:dyDescent="0.3">
      <c r="A619" t="s">
        <v>575</v>
      </c>
      <c r="B619" t="s">
        <v>461</v>
      </c>
      <c r="D619" t="s">
        <v>577</v>
      </c>
      <c r="E619">
        <v>44</v>
      </c>
      <c r="F619" t="s">
        <v>294</v>
      </c>
      <c r="G619">
        <v>311</v>
      </c>
      <c r="I619" t="s">
        <v>578</v>
      </c>
    </row>
    <row r="620" spans="1:9" x14ac:dyDescent="0.3">
      <c r="A620" t="s">
        <v>575</v>
      </c>
      <c r="B620" t="s">
        <v>461</v>
      </c>
      <c r="D620" t="s">
        <v>579</v>
      </c>
      <c r="E620">
        <v>44</v>
      </c>
      <c r="F620" t="s">
        <v>294</v>
      </c>
      <c r="G620">
        <v>312</v>
      </c>
      <c r="I620" t="s">
        <v>580</v>
      </c>
    </row>
    <row r="621" spans="1:9" x14ac:dyDescent="0.3">
      <c r="A621" t="s">
        <v>575</v>
      </c>
      <c r="B621" t="s">
        <v>461</v>
      </c>
      <c r="D621" t="s">
        <v>581</v>
      </c>
      <c r="E621">
        <v>44</v>
      </c>
      <c r="F621" t="s">
        <v>294</v>
      </c>
      <c r="G621">
        <v>313</v>
      </c>
      <c r="I621" t="s">
        <v>582</v>
      </c>
    </row>
    <row r="622" spans="1:9" x14ac:dyDescent="0.3">
      <c r="A622" t="s">
        <v>575</v>
      </c>
      <c r="B622" t="s">
        <v>461</v>
      </c>
      <c r="D622" t="s">
        <v>583</v>
      </c>
      <c r="E622">
        <v>44</v>
      </c>
      <c r="F622" t="s">
        <v>294</v>
      </c>
      <c r="G622">
        <v>314</v>
      </c>
      <c r="I622" t="s">
        <v>584</v>
      </c>
    </row>
    <row r="623" spans="1:9" x14ac:dyDescent="0.3">
      <c r="A623" t="s">
        <v>575</v>
      </c>
      <c r="B623" t="s">
        <v>461</v>
      </c>
      <c r="D623" t="s">
        <v>585</v>
      </c>
      <c r="E623">
        <v>44</v>
      </c>
      <c r="F623" t="s">
        <v>294</v>
      </c>
      <c r="G623">
        <v>315</v>
      </c>
      <c r="I623" t="s">
        <v>586</v>
      </c>
    </row>
    <row r="624" spans="1:9" x14ac:dyDescent="0.3">
      <c r="A624" t="s">
        <v>575</v>
      </c>
      <c r="B624" t="s">
        <v>461</v>
      </c>
      <c r="D624" t="s">
        <v>587</v>
      </c>
      <c r="E624">
        <v>44</v>
      </c>
      <c r="F624" t="s">
        <v>294</v>
      </c>
      <c r="G624">
        <v>316</v>
      </c>
      <c r="I624" t="s">
        <v>588</v>
      </c>
    </row>
    <row r="625" spans="1:9" x14ac:dyDescent="0.3">
      <c r="A625" s="30">
        <v>39934</v>
      </c>
      <c r="B625" s="30">
        <v>41214</v>
      </c>
      <c r="D625" t="s">
        <v>589</v>
      </c>
      <c r="E625">
        <v>30</v>
      </c>
      <c r="F625" t="s">
        <v>422</v>
      </c>
      <c r="G625">
        <v>194</v>
      </c>
      <c r="I625" t="s">
        <v>590</v>
      </c>
    </row>
    <row r="626" spans="1:9" x14ac:dyDescent="0.3">
      <c r="A626" t="s">
        <v>591</v>
      </c>
    </row>
    <row r="627" spans="1:9" x14ac:dyDescent="0.3">
      <c r="A627" s="30">
        <v>39934</v>
      </c>
      <c r="B627" s="30">
        <v>41214</v>
      </c>
      <c r="D627" t="s">
        <v>592</v>
      </c>
      <c r="E627">
        <v>30</v>
      </c>
      <c r="F627" t="s">
        <v>422</v>
      </c>
      <c r="G627">
        <v>195</v>
      </c>
      <c r="I627" t="s">
        <v>593</v>
      </c>
    </row>
    <row r="628" spans="1:9" x14ac:dyDescent="0.3">
      <c r="A628" t="s">
        <v>591</v>
      </c>
    </row>
    <row r="629" spans="1:9" x14ac:dyDescent="0.3">
      <c r="A629" s="30">
        <v>39934</v>
      </c>
      <c r="B629" s="30">
        <v>41214</v>
      </c>
      <c r="D629" t="s">
        <v>594</v>
      </c>
      <c r="E629">
        <v>30</v>
      </c>
      <c r="F629" t="s">
        <v>422</v>
      </c>
      <c r="G629">
        <v>196</v>
      </c>
      <c r="I629" t="s">
        <v>595</v>
      </c>
    </row>
    <row r="630" spans="1:9" x14ac:dyDescent="0.3">
      <c r="A630" t="s">
        <v>591</v>
      </c>
    </row>
    <row r="631" spans="1:9" x14ac:dyDescent="0.3">
      <c r="A631" s="30">
        <v>39934</v>
      </c>
      <c r="B631" s="30">
        <v>41214</v>
      </c>
      <c r="D631" t="s">
        <v>596</v>
      </c>
      <c r="E631">
        <v>30</v>
      </c>
      <c r="F631" t="s">
        <v>422</v>
      </c>
      <c r="G631">
        <v>197</v>
      </c>
      <c r="I631" t="s">
        <v>597</v>
      </c>
    </row>
    <row r="632" spans="1:9" x14ac:dyDescent="0.3">
      <c r="A632" t="s">
        <v>598</v>
      </c>
    </row>
    <row r="633" spans="1:9" x14ac:dyDescent="0.3">
      <c r="A633" s="30">
        <v>39934</v>
      </c>
      <c r="B633" s="30">
        <v>41214</v>
      </c>
      <c r="D633" t="s">
        <v>599</v>
      </c>
      <c r="E633">
        <v>30</v>
      </c>
      <c r="F633" t="s">
        <v>422</v>
      </c>
      <c r="G633">
        <v>198</v>
      </c>
      <c r="I633" t="s">
        <v>600</v>
      </c>
    </row>
    <row r="634" spans="1:9" x14ac:dyDescent="0.3">
      <c r="A634" t="s">
        <v>591</v>
      </c>
    </row>
    <row r="635" spans="1:9" x14ac:dyDescent="0.3">
      <c r="A635" s="30">
        <v>39934</v>
      </c>
      <c r="B635" s="30">
        <v>41214</v>
      </c>
      <c r="D635" t="s">
        <v>601</v>
      </c>
      <c r="E635">
        <v>30</v>
      </c>
      <c r="F635" t="s">
        <v>422</v>
      </c>
      <c r="G635">
        <v>199</v>
      </c>
      <c r="I635" t="s">
        <v>602</v>
      </c>
    </row>
    <row r="636" spans="1:9" x14ac:dyDescent="0.3">
      <c r="A636" t="s">
        <v>603</v>
      </c>
    </row>
    <row r="637" spans="1:9" x14ac:dyDescent="0.3">
      <c r="A637" s="30">
        <v>39934</v>
      </c>
      <c r="B637" s="30">
        <v>41214</v>
      </c>
      <c r="D637" t="s">
        <v>604</v>
      </c>
      <c r="E637">
        <v>30</v>
      </c>
      <c r="F637" t="s">
        <v>422</v>
      </c>
      <c r="G637">
        <v>200</v>
      </c>
      <c r="I637" t="s">
        <v>605</v>
      </c>
    </row>
    <row r="638" spans="1:9" x14ac:dyDescent="0.3">
      <c r="A638" t="s">
        <v>606</v>
      </c>
    </row>
    <row r="639" spans="1:9" x14ac:dyDescent="0.3">
      <c r="A639" s="30">
        <v>39934</v>
      </c>
      <c r="B639" s="30">
        <v>41214</v>
      </c>
      <c r="D639" t="s">
        <v>607</v>
      </c>
      <c r="E639">
        <v>30</v>
      </c>
      <c r="F639" t="s">
        <v>422</v>
      </c>
      <c r="G639">
        <v>201</v>
      </c>
      <c r="I639" t="s">
        <v>608</v>
      </c>
    </row>
    <row r="640" spans="1:9" x14ac:dyDescent="0.3">
      <c r="A640" s="30">
        <v>40238</v>
      </c>
      <c r="B640" s="30">
        <v>41214</v>
      </c>
      <c r="D640" t="s">
        <v>609</v>
      </c>
      <c r="E640">
        <v>30</v>
      </c>
      <c r="F640" t="s">
        <v>422</v>
      </c>
      <c r="G640">
        <v>202</v>
      </c>
      <c r="I640" t="s">
        <v>610</v>
      </c>
    </row>
    <row r="641" spans="1:9" x14ac:dyDescent="0.3">
      <c r="A641" s="30">
        <v>40299</v>
      </c>
      <c r="B641" s="30">
        <v>41153</v>
      </c>
      <c r="D641" t="s">
        <v>611</v>
      </c>
      <c r="E641">
        <v>30</v>
      </c>
      <c r="F641" t="s">
        <v>422</v>
      </c>
      <c r="G641">
        <v>203</v>
      </c>
      <c r="I641" t="s">
        <v>612</v>
      </c>
    </row>
    <row r="642" spans="1:9" x14ac:dyDescent="0.3">
      <c r="D642" t="s">
        <v>447</v>
      </c>
      <c r="E642">
        <v>30</v>
      </c>
      <c r="F642" t="s">
        <v>422</v>
      </c>
      <c r="G642">
        <v>204</v>
      </c>
      <c r="I642" t="s">
        <v>447</v>
      </c>
    </row>
    <row r="643" spans="1:9" x14ac:dyDescent="0.3">
      <c r="D643" t="s">
        <v>613</v>
      </c>
      <c r="E643">
        <v>30</v>
      </c>
      <c r="F643" t="s">
        <v>422</v>
      </c>
      <c r="G643">
        <v>205</v>
      </c>
      <c r="I643" t="s">
        <v>613</v>
      </c>
    </row>
    <row r="644" spans="1:9" x14ac:dyDescent="0.3">
      <c r="A644" s="30">
        <v>39934</v>
      </c>
      <c r="B644" s="30">
        <v>41153</v>
      </c>
      <c r="D644" t="s">
        <v>614</v>
      </c>
      <c r="E644">
        <v>30</v>
      </c>
      <c r="F644" t="s">
        <v>422</v>
      </c>
      <c r="G644">
        <v>206</v>
      </c>
      <c r="I644" t="s">
        <v>615</v>
      </c>
    </row>
    <row r="645" spans="1:9" x14ac:dyDescent="0.3">
      <c r="A645" s="30">
        <v>39934</v>
      </c>
      <c r="B645" s="30">
        <v>41214</v>
      </c>
      <c r="D645" t="s">
        <v>616</v>
      </c>
      <c r="E645">
        <v>30</v>
      </c>
      <c r="F645" t="s">
        <v>422</v>
      </c>
      <c r="G645">
        <v>207</v>
      </c>
      <c r="I645" t="s">
        <v>617</v>
      </c>
    </row>
    <row r="646" spans="1:9" x14ac:dyDescent="0.3">
      <c r="A646" s="30">
        <v>39934</v>
      </c>
      <c r="B646" s="30">
        <v>41214</v>
      </c>
      <c r="D646" t="s">
        <v>618</v>
      </c>
      <c r="E646">
        <v>30</v>
      </c>
      <c r="F646" t="s">
        <v>422</v>
      </c>
      <c r="G646">
        <v>208</v>
      </c>
      <c r="I646" t="s">
        <v>619</v>
      </c>
    </row>
    <row r="647" spans="1:9" x14ac:dyDescent="0.3">
      <c r="A647" s="30">
        <v>39934</v>
      </c>
      <c r="B647" s="30">
        <v>41214</v>
      </c>
      <c r="D647" t="s">
        <v>620</v>
      </c>
      <c r="E647">
        <v>30</v>
      </c>
      <c r="F647" t="s">
        <v>422</v>
      </c>
      <c r="G647">
        <v>209</v>
      </c>
      <c r="I647" t="s">
        <v>621</v>
      </c>
    </row>
    <row r="648" spans="1:9" x14ac:dyDescent="0.3">
      <c r="A648" s="30">
        <v>39934</v>
      </c>
      <c r="B648" s="30">
        <v>41214</v>
      </c>
      <c r="D648" t="s">
        <v>622</v>
      </c>
      <c r="E648">
        <v>30</v>
      </c>
      <c r="F648" t="s">
        <v>422</v>
      </c>
      <c r="G648">
        <v>210</v>
      </c>
      <c r="I648" t="s">
        <v>623</v>
      </c>
    </row>
    <row r="649" spans="1:9" x14ac:dyDescent="0.3">
      <c r="A649" s="30">
        <v>39934</v>
      </c>
      <c r="B649" s="30">
        <v>41214</v>
      </c>
      <c r="D649" t="s">
        <v>624</v>
      </c>
      <c r="E649">
        <v>30</v>
      </c>
      <c r="F649" t="s">
        <v>422</v>
      </c>
      <c r="G649">
        <v>211</v>
      </c>
      <c r="I649" t="s">
        <v>625</v>
      </c>
    </row>
    <row r="650" spans="1:9" x14ac:dyDescent="0.3">
      <c r="A650" s="30">
        <v>39934</v>
      </c>
      <c r="B650" s="30">
        <v>41214</v>
      </c>
      <c r="D650" t="s">
        <v>626</v>
      </c>
      <c r="E650">
        <v>30</v>
      </c>
      <c r="F650" t="s">
        <v>422</v>
      </c>
      <c r="G650">
        <v>212</v>
      </c>
      <c r="I650" t="s">
        <v>627</v>
      </c>
    </row>
    <row r="651" spans="1:9" x14ac:dyDescent="0.3">
      <c r="A651" s="30">
        <v>39934</v>
      </c>
      <c r="B651" s="30">
        <v>41214</v>
      </c>
      <c r="D651" t="s">
        <v>628</v>
      </c>
      <c r="E651">
        <v>30</v>
      </c>
      <c r="F651" t="s">
        <v>422</v>
      </c>
      <c r="G651">
        <v>213</v>
      </c>
      <c r="I651" t="s">
        <v>629</v>
      </c>
    </row>
    <row r="652" spans="1:9" x14ac:dyDescent="0.3">
      <c r="A652" s="30">
        <v>40940</v>
      </c>
      <c r="B652" s="30">
        <v>41214</v>
      </c>
      <c r="D652" t="s">
        <v>630</v>
      </c>
      <c r="E652">
        <v>30</v>
      </c>
      <c r="F652" t="s">
        <v>422</v>
      </c>
      <c r="G652">
        <v>214</v>
      </c>
      <c r="I652" t="s">
        <v>631</v>
      </c>
    </row>
    <row r="653" spans="1:9" x14ac:dyDescent="0.3">
      <c r="A653" s="30">
        <v>39934</v>
      </c>
      <c r="B653" s="30">
        <v>41214</v>
      </c>
      <c r="D653" t="s">
        <v>632</v>
      </c>
      <c r="E653">
        <v>30</v>
      </c>
      <c r="F653" t="s">
        <v>422</v>
      </c>
      <c r="G653">
        <v>215</v>
      </c>
      <c r="I653" t="s">
        <v>633</v>
      </c>
    </row>
    <row r="654" spans="1:9" x14ac:dyDescent="0.3">
      <c r="A654" s="30">
        <v>39934</v>
      </c>
      <c r="B654" s="30">
        <v>41244</v>
      </c>
      <c r="D654" t="s">
        <v>634</v>
      </c>
      <c r="E654">
        <v>30</v>
      </c>
      <c r="F654" t="s">
        <v>422</v>
      </c>
      <c r="G654">
        <v>216</v>
      </c>
      <c r="I654" t="s">
        <v>635</v>
      </c>
    </row>
    <row r="655" spans="1:9" x14ac:dyDescent="0.3">
      <c r="A655" t="s">
        <v>636</v>
      </c>
      <c r="B655" t="s">
        <v>637</v>
      </c>
      <c r="D655" t="s">
        <v>638</v>
      </c>
      <c r="E655">
        <v>29</v>
      </c>
      <c r="F655" t="s">
        <v>294</v>
      </c>
      <c r="G655">
        <v>154</v>
      </c>
      <c r="I655" t="s">
        <v>639</v>
      </c>
    </row>
    <row r="656" spans="1:9" x14ac:dyDescent="0.3">
      <c r="A656" t="s">
        <v>636</v>
      </c>
      <c r="B656" t="s">
        <v>637</v>
      </c>
      <c r="D656" t="s">
        <v>640</v>
      </c>
      <c r="E656">
        <v>29</v>
      </c>
      <c r="F656" t="s">
        <v>294</v>
      </c>
      <c r="G656">
        <v>155</v>
      </c>
      <c r="I656" t="s">
        <v>556</v>
      </c>
    </row>
    <row r="657" spans="1:9" x14ac:dyDescent="0.3">
      <c r="A657" t="s">
        <v>636</v>
      </c>
      <c r="B657" t="s">
        <v>637</v>
      </c>
      <c r="D657" t="s">
        <v>641</v>
      </c>
      <c r="E657">
        <v>29</v>
      </c>
      <c r="F657" t="s">
        <v>294</v>
      </c>
      <c r="G657">
        <v>156</v>
      </c>
      <c r="I657" t="s">
        <v>642</v>
      </c>
    </row>
    <row r="658" spans="1:9" x14ac:dyDescent="0.3">
      <c r="A658" t="s">
        <v>636</v>
      </c>
      <c r="B658" t="s">
        <v>637</v>
      </c>
      <c r="D658" t="s">
        <v>643</v>
      </c>
      <c r="E658">
        <v>29</v>
      </c>
      <c r="F658" t="s">
        <v>294</v>
      </c>
      <c r="G658">
        <v>157</v>
      </c>
      <c r="I658" t="s">
        <v>644</v>
      </c>
    </row>
    <row r="659" spans="1:9" x14ac:dyDescent="0.3">
      <c r="A659" t="s">
        <v>636</v>
      </c>
      <c r="B659" t="s">
        <v>637</v>
      </c>
      <c r="D659" t="s">
        <v>645</v>
      </c>
      <c r="E659">
        <v>29</v>
      </c>
      <c r="F659" t="s">
        <v>294</v>
      </c>
      <c r="G659">
        <v>158</v>
      </c>
      <c r="I659" t="s">
        <v>646</v>
      </c>
    </row>
    <row r="660" spans="1:9" x14ac:dyDescent="0.3">
      <c r="A660" t="s">
        <v>636</v>
      </c>
      <c r="B660" t="s">
        <v>637</v>
      </c>
      <c r="D660" t="s">
        <v>647</v>
      </c>
      <c r="E660">
        <v>29</v>
      </c>
      <c r="F660" t="s">
        <v>294</v>
      </c>
      <c r="G660">
        <v>159</v>
      </c>
      <c r="I660" t="s">
        <v>648</v>
      </c>
    </row>
    <row r="661" spans="1:9" x14ac:dyDescent="0.3">
      <c r="A661" t="s">
        <v>636</v>
      </c>
      <c r="B661" t="s">
        <v>637</v>
      </c>
      <c r="D661" t="s">
        <v>649</v>
      </c>
      <c r="E661">
        <v>29</v>
      </c>
      <c r="F661" t="s">
        <v>294</v>
      </c>
      <c r="G661">
        <v>160</v>
      </c>
      <c r="I661" t="s">
        <v>650</v>
      </c>
    </row>
    <row r="662" spans="1:9" x14ac:dyDescent="0.3">
      <c r="A662" t="s">
        <v>636</v>
      </c>
      <c r="B662" t="s">
        <v>637</v>
      </c>
      <c r="D662" t="s">
        <v>651</v>
      </c>
      <c r="E662">
        <v>29</v>
      </c>
      <c r="F662" t="s">
        <v>294</v>
      </c>
      <c r="G662">
        <v>161</v>
      </c>
      <c r="I662" t="s">
        <v>652</v>
      </c>
    </row>
    <row r="663" spans="1:9" x14ac:dyDescent="0.3">
      <c r="A663" t="s">
        <v>653</v>
      </c>
      <c r="B663" t="s">
        <v>637</v>
      </c>
      <c r="D663" t="s">
        <v>654</v>
      </c>
      <c r="E663">
        <v>29</v>
      </c>
      <c r="F663" t="s">
        <v>294</v>
      </c>
      <c r="G663">
        <v>8094</v>
      </c>
      <c r="I663" t="s">
        <v>655</v>
      </c>
    </row>
    <row r="664" spans="1:9" x14ac:dyDescent="0.3">
      <c r="A664" t="s">
        <v>656</v>
      </c>
      <c r="B664" t="s">
        <v>637</v>
      </c>
      <c r="D664" t="s">
        <v>657</v>
      </c>
      <c r="E664">
        <v>29</v>
      </c>
      <c r="F664" t="s">
        <v>222</v>
      </c>
      <c r="G664">
        <v>8533</v>
      </c>
      <c r="I664" t="s">
        <v>658</v>
      </c>
    </row>
    <row r="665" spans="1:9" x14ac:dyDescent="0.3">
      <c r="A665" t="s">
        <v>656</v>
      </c>
      <c r="B665" t="s">
        <v>637</v>
      </c>
      <c r="D665" t="s">
        <v>659</v>
      </c>
      <c r="E665">
        <v>29</v>
      </c>
      <c r="F665" t="s">
        <v>222</v>
      </c>
      <c r="G665">
        <v>8534</v>
      </c>
      <c r="I665" t="s">
        <v>660</v>
      </c>
    </row>
    <row r="666" spans="1:9" x14ac:dyDescent="0.3">
      <c r="A666" t="s">
        <v>661</v>
      </c>
      <c r="B666" t="s">
        <v>461</v>
      </c>
      <c r="D666" t="s">
        <v>662</v>
      </c>
      <c r="E666">
        <v>17</v>
      </c>
      <c r="F666" t="s">
        <v>294</v>
      </c>
      <c r="G666">
        <v>85</v>
      </c>
      <c r="I666" t="s">
        <v>663</v>
      </c>
    </row>
    <row r="667" spans="1:9" x14ac:dyDescent="0.3">
      <c r="A667" t="s">
        <v>661</v>
      </c>
      <c r="B667" t="s">
        <v>461</v>
      </c>
      <c r="D667" t="s">
        <v>664</v>
      </c>
      <c r="E667">
        <v>17</v>
      </c>
      <c r="F667" t="s">
        <v>294</v>
      </c>
      <c r="G667">
        <v>95</v>
      </c>
      <c r="I667" t="s">
        <v>664</v>
      </c>
    </row>
    <row r="668" spans="1:9" x14ac:dyDescent="0.3">
      <c r="A668" t="s">
        <v>661</v>
      </c>
      <c r="B668" t="s">
        <v>461</v>
      </c>
      <c r="D668" t="s">
        <v>665</v>
      </c>
      <c r="E668">
        <v>17</v>
      </c>
      <c r="F668" t="s">
        <v>294</v>
      </c>
      <c r="G668">
        <v>100</v>
      </c>
      <c r="I668" t="s">
        <v>665</v>
      </c>
    </row>
    <row r="669" spans="1:9" x14ac:dyDescent="0.3">
      <c r="A669" t="s">
        <v>661</v>
      </c>
      <c r="B669" t="s">
        <v>461</v>
      </c>
      <c r="D669" t="s">
        <v>666</v>
      </c>
      <c r="E669">
        <v>17</v>
      </c>
      <c r="F669" t="s">
        <v>294</v>
      </c>
      <c r="G669">
        <v>122</v>
      </c>
      <c r="I669" t="s">
        <v>666</v>
      </c>
    </row>
    <row r="670" spans="1:9" x14ac:dyDescent="0.3">
      <c r="A670" t="s">
        <v>661</v>
      </c>
      <c r="B670" t="s">
        <v>461</v>
      </c>
      <c r="D670" t="s">
        <v>640</v>
      </c>
      <c r="E670">
        <v>17</v>
      </c>
      <c r="F670" t="s">
        <v>294</v>
      </c>
      <c r="G670">
        <v>86</v>
      </c>
      <c r="I670" t="s">
        <v>667</v>
      </c>
    </row>
    <row r="671" spans="1:9" x14ac:dyDescent="0.3">
      <c r="A671" t="s">
        <v>661</v>
      </c>
      <c r="B671" t="s">
        <v>461</v>
      </c>
      <c r="D671" t="s">
        <v>668</v>
      </c>
      <c r="E671">
        <v>17</v>
      </c>
      <c r="F671" t="s">
        <v>294</v>
      </c>
      <c r="G671">
        <v>88</v>
      </c>
      <c r="I671" t="s">
        <v>669</v>
      </c>
    </row>
    <row r="672" spans="1:9" x14ac:dyDescent="0.3">
      <c r="A672" t="s">
        <v>661</v>
      </c>
      <c r="B672" t="s">
        <v>461</v>
      </c>
      <c r="D672" t="s">
        <v>670</v>
      </c>
      <c r="E672">
        <v>17</v>
      </c>
      <c r="F672" t="s">
        <v>294</v>
      </c>
      <c r="G672">
        <v>90</v>
      </c>
      <c r="I672" t="s">
        <v>670</v>
      </c>
    </row>
    <row r="673" spans="1:9" x14ac:dyDescent="0.3">
      <c r="A673" t="s">
        <v>661</v>
      </c>
      <c r="B673" t="s">
        <v>461</v>
      </c>
      <c r="D673" t="s">
        <v>671</v>
      </c>
      <c r="E673">
        <v>17</v>
      </c>
      <c r="F673" t="s">
        <v>294</v>
      </c>
      <c r="G673">
        <v>92</v>
      </c>
      <c r="I673" t="s">
        <v>671</v>
      </c>
    </row>
    <row r="674" spans="1:9" x14ac:dyDescent="0.3">
      <c r="A674" t="s">
        <v>661</v>
      </c>
      <c r="B674" t="s">
        <v>461</v>
      </c>
      <c r="D674" t="s">
        <v>672</v>
      </c>
      <c r="E674">
        <v>17</v>
      </c>
      <c r="F674" t="s">
        <v>294</v>
      </c>
      <c r="G674">
        <v>93</v>
      </c>
      <c r="I674" t="s">
        <v>672</v>
      </c>
    </row>
    <row r="675" spans="1:9" x14ac:dyDescent="0.3">
      <c r="A675" t="s">
        <v>661</v>
      </c>
      <c r="B675" t="s">
        <v>461</v>
      </c>
      <c r="D675" t="s">
        <v>673</v>
      </c>
      <c r="E675">
        <v>17</v>
      </c>
      <c r="F675" t="s">
        <v>294</v>
      </c>
      <c r="G675">
        <v>94</v>
      </c>
      <c r="I675" t="s">
        <v>673</v>
      </c>
    </row>
    <row r="676" spans="1:9" x14ac:dyDescent="0.3">
      <c r="A676" t="s">
        <v>661</v>
      </c>
      <c r="B676" t="s">
        <v>461</v>
      </c>
      <c r="D676" t="s">
        <v>674</v>
      </c>
      <c r="E676">
        <v>17</v>
      </c>
      <c r="F676" t="s">
        <v>294</v>
      </c>
      <c r="G676">
        <v>96</v>
      </c>
      <c r="I676" t="s">
        <v>674</v>
      </c>
    </row>
    <row r="677" spans="1:9" x14ac:dyDescent="0.3">
      <c r="A677" t="s">
        <v>661</v>
      </c>
      <c r="B677" t="s">
        <v>461</v>
      </c>
      <c r="D677" t="s">
        <v>675</v>
      </c>
      <c r="E677">
        <v>17</v>
      </c>
      <c r="F677" t="s">
        <v>294</v>
      </c>
      <c r="G677">
        <v>97</v>
      </c>
      <c r="I677" t="s">
        <v>675</v>
      </c>
    </row>
    <row r="678" spans="1:9" x14ac:dyDescent="0.3">
      <c r="A678" t="s">
        <v>661</v>
      </c>
      <c r="B678" t="s">
        <v>461</v>
      </c>
      <c r="D678" t="s">
        <v>676</v>
      </c>
      <c r="E678">
        <v>17</v>
      </c>
      <c r="F678" t="s">
        <v>294</v>
      </c>
      <c r="G678">
        <v>98</v>
      </c>
      <c r="I678" t="s">
        <v>676</v>
      </c>
    </row>
    <row r="679" spans="1:9" x14ac:dyDescent="0.3">
      <c r="A679" t="s">
        <v>661</v>
      </c>
      <c r="B679" t="s">
        <v>461</v>
      </c>
      <c r="D679" t="s">
        <v>677</v>
      </c>
      <c r="E679">
        <v>17</v>
      </c>
      <c r="F679" t="s">
        <v>294</v>
      </c>
      <c r="G679">
        <v>99</v>
      </c>
      <c r="I679" t="s">
        <v>677</v>
      </c>
    </row>
    <row r="680" spans="1:9" x14ac:dyDescent="0.3">
      <c r="A680" t="s">
        <v>661</v>
      </c>
      <c r="B680" t="s">
        <v>461</v>
      </c>
      <c r="D680" t="s">
        <v>678</v>
      </c>
      <c r="E680">
        <v>17</v>
      </c>
      <c r="F680" t="s">
        <v>294</v>
      </c>
      <c r="G680">
        <v>101</v>
      </c>
      <c r="I680" t="s">
        <v>678</v>
      </c>
    </row>
    <row r="681" spans="1:9" x14ac:dyDescent="0.3">
      <c r="A681" t="s">
        <v>661</v>
      </c>
      <c r="B681" t="s">
        <v>461</v>
      </c>
      <c r="D681" t="s">
        <v>679</v>
      </c>
      <c r="E681">
        <v>17</v>
      </c>
      <c r="F681" t="s">
        <v>294</v>
      </c>
      <c r="G681">
        <v>102</v>
      </c>
      <c r="I681" t="s">
        <v>679</v>
      </c>
    </row>
    <row r="682" spans="1:9" x14ac:dyDescent="0.3">
      <c r="A682" t="s">
        <v>661</v>
      </c>
      <c r="B682" t="s">
        <v>461</v>
      </c>
      <c r="D682" t="s">
        <v>680</v>
      </c>
      <c r="E682">
        <v>17</v>
      </c>
      <c r="F682" t="s">
        <v>294</v>
      </c>
      <c r="G682">
        <v>104</v>
      </c>
      <c r="I682" t="s">
        <v>680</v>
      </c>
    </row>
    <row r="683" spans="1:9" x14ac:dyDescent="0.3">
      <c r="A683" t="s">
        <v>661</v>
      </c>
      <c r="B683" t="s">
        <v>461</v>
      </c>
      <c r="D683" t="s">
        <v>681</v>
      </c>
      <c r="E683">
        <v>17</v>
      </c>
      <c r="F683" t="s">
        <v>294</v>
      </c>
      <c r="G683">
        <v>106</v>
      </c>
      <c r="I683" t="s">
        <v>681</v>
      </c>
    </row>
    <row r="684" spans="1:9" x14ac:dyDescent="0.3">
      <c r="A684" t="s">
        <v>661</v>
      </c>
      <c r="B684" t="s">
        <v>461</v>
      </c>
      <c r="D684" t="s">
        <v>682</v>
      </c>
      <c r="E684">
        <v>17</v>
      </c>
      <c r="F684" t="s">
        <v>294</v>
      </c>
      <c r="G684">
        <v>107</v>
      </c>
      <c r="I684" t="s">
        <v>682</v>
      </c>
    </row>
    <row r="685" spans="1:9" x14ac:dyDescent="0.3">
      <c r="A685" t="s">
        <v>661</v>
      </c>
      <c r="B685" t="s">
        <v>461</v>
      </c>
      <c r="D685" t="s">
        <v>683</v>
      </c>
      <c r="E685">
        <v>17</v>
      </c>
      <c r="F685" t="s">
        <v>294</v>
      </c>
      <c r="G685">
        <v>108</v>
      </c>
      <c r="I685" t="s">
        <v>683</v>
      </c>
    </row>
    <row r="686" spans="1:9" x14ac:dyDescent="0.3">
      <c r="A686" t="s">
        <v>661</v>
      </c>
      <c r="B686" t="s">
        <v>461</v>
      </c>
      <c r="D686" t="s">
        <v>684</v>
      </c>
      <c r="E686">
        <v>17</v>
      </c>
      <c r="F686" t="s">
        <v>294</v>
      </c>
      <c r="G686">
        <v>110</v>
      </c>
      <c r="I686" t="s">
        <v>684</v>
      </c>
    </row>
    <row r="687" spans="1:9" x14ac:dyDescent="0.3">
      <c r="A687" t="s">
        <v>661</v>
      </c>
      <c r="B687" t="s">
        <v>461</v>
      </c>
      <c r="D687" t="s">
        <v>685</v>
      </c>
      <c r="E687">
        <v>17</v>
      </c>
      <c r="F687" t="s">
        <v>294</v>
      </c>
      <c r="G687">
        <v>111</v>
      </c>
      <c r="I687" t="s">
        <v>685</v>
      </c>
    </row>
    <row r="688" spans="1:9" x14ac:dyDescent="0.3">
      <c r="A688" t="s">
        <v>661</v>
      </c>
      <c r="B688" t="s">
        <v>461</v>
      </c>
      <c r="D688" t="s">
        <v>686</v>
      </c>
      <c r="E688">
        <v>17</v>
      </c>
      <c r="F688" t="s">
        <v>294</v>
      </c>
      <c r="G688">
        <v>112</v>
      </c>
      <c r="I688" t="s">
        <v>686</v>
      </c>
    </row>
    <row r="689" spans="1:9" x14ac:dyDescent="0.3">
      <c r="A689" t="s">
        <v>661</v>
      </c>
      <c r="B689" t="s">
        <v>461</v>
      </c>
      <c r="D689" t="s">
        <v>687</v>
      </c>
      <c r="E689">
        <v>17</v>
      </c>
      <c r="F689" t="s">
        <v>294</v>
      </c>
      <c r="G689">
        <v>113</v>
      </c>
      <c r="I689" t="s">
        <v>687</v>
      </c>
    </row>
    <row r="690" spans="1:9" x14ac:dyDescent="0.3">
      <c r="A690" t="s">
        <v>661</v>
      </c>
      <c r="B690" t="s">
        <v>461</v>
      </c>
      <c r="D690" t="s">
        <v>688</v>
      </c>
      <c r="E690">
        <v>17</v>
      </c>
      <c r="F690" t="s">
        <v>294</v>
      </c>
      <c r="G690">
        <v>114</v>
      </c>
      <c r="I690" t="s">
        <v>688</v>
      </c>
    </row>
    <row r="691" spans="1:9" x14ac:dyDescent="0.3">
      <c r="A691" t="s">
        <v>661</v>
      </c>
      <c r="B691" t="s">
        <v>461</v>
      </c>
      <c r="D691" t="s">
        <v>689</v>
      </c>
      <c r="E691">
        <v>17</v>
      </c>
      <c r="F691" t="s">
        <v>294</v>
      </c>
      <c r="G691">
        <v>115</v>
      </c>
      <c r="I691" t="s">
        <v>689</v>
      </c>
    </row>
    <row r="692" spans="1:9" x14ac:dyDescent="0.3">
      <c r="A692" t="s">
        <v>661</v>
      </c>
      <c r="B692" t="s">
        <v>461</v>
      </c>
      <c r="D692" t="s">
        <v>690</v>
      </c>
      <c r="E692">
        <v>17</v>
      </c>
      <c r="F692" t="s">
        <v>294</v>
      </c>
      <c r="G692">
        <v>116</v>
      </c>
      <c r="I692" t="s">
        <v>690</v>
      </c>
    </row>
    <row r="693" spans="1:9" x14ac:dyDescent="0.3">
      <c r="A693" t="s">
        <v>661</v>
      </c>
      <c r="B693" t="s">
        <v>461</v>
      </c>
      <c r="D693" t="s">
        <v>691</v>
      </c>
      <c r="E693">
        <v>17</v>
      </c>
      <c r="F693" t="s">
        <v>294</v>
      </c>
      <c r="G693">
        <v>117</v>
      </c>
      <c r="I693" t="s">
        <v>691</v>
      </c>
    </row>
    <row r="694" spans="1:9" x14ac:dyDescent="0.3">
      <c r="A694" t="s">
        <v>661</v>
      </c>
      <c r="B694" t="s">
        <v>461</v>
      </c>
      <c r="D694" t="s">
        <v>692</v>
      </c>
      <c r="E694">
        <v>17</v>
      </c>
      <c r="F694" t="s">
        <v>294</v>
      </c>
      <c r="G694">
        <v>118</v>
      </c>
      <c r="I694" t="s">
        <v>692</v>
      </c>
    </row>
    <row r="695" spans="1:9" x14ac:dyDescent="0.3">
      <c r="A695" t="s">
        <v>661</v>
      </c>
      <c r="B695" t="s">
        <v>461</v>
      </c>
      <c r="D695" t="s">
        <v>693</v>
      </c>
      <c r="E695">
        <v>17</v>
      </c>
      <c r="F695" t="s">
        <v>294</v>
      </c>
      <c r="G695">
        <v>119</v>
      </c>
      <c r="I695" t="s">
        <v>693</v>
      </c>
    </row>
    <row r="696" spans="1:9" x14ac:dyDescent="0.3">
      <c r="A696" t="s">
        <v>661</v>
      </c>
      <c r="B696" t="s">
        <v>461</v>
      </c>
      <c r="D696" t="s">
        <v>694</v>
      </c>
      <c r="E696">
        <v>17</v>
      </c>
      <c r="F696" t="s">
        <v>294</v>
      </c>
      <c r="G696">
        <v>123</v>
      </c>
      <c r="I696" t="s">
        <v>694</v>
      </c>
    </row>
    <row r="697" spans="1:9" x14ac:dyDescent="0.3">
      <c r="A697" t="s">
        <v>661</v>
      </c>
      <c r="B697" t="s">
        <v>461</v>
      </c>
      <c r="D697" t="s">
        <v>695</v>
      </c>
      <c r="E697">
        <v>17</v>
      </c>
      <c r="F697" t="s">
        <v>294</v>
      </c>
      <c r="G697">
        <v>125</v>
      </c>
      <c r="I697" t="s">
        <v>695</v>
      </c>
    </row>
    <row r="698" spans="1:9" x14ac:dyDescent="0.3">
      <c r="A698" t="s">
        <v>661</v>
      </c>
      <c r="B698" t="s">
        <v>461</v>
      </c>
      <c r="D698" t="s">
        <v>696</v>
      </c>
      <c r="E698">
        <v>17</v>
      </c>
      <c r="F698" t="s">
        <v>294</v>
      </c>
      <c r="G698">
        <v>126</v>
      </c>
      <c r="I698" t="s">
        <v>696</v>
      </c>
    </row>
  </sheetData>
  <mergeCells count="2">
    <mergeCell ref="E1:E2"/>
    <mergeCell ref="F1:F2"/>
  </mergeCells>
  <hyperlinks>
    <hyperlink ref="F1" r:id="rId1" display="https://beta.wit-datacenter.com/wapi/WACC0RSK09BH21G/Data" xr:uid="{00000000-0004-0000-0200-000000000000}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6146" r:id="rId4" name="CommandButtonDatas">
          <controlPr defaultSize="0" autoLine="0" autoPict="0" r:id="rId5">
            <anchor moveWithCells="1">
              <from>
                <xdr:col>2</xdr:col>
                <xdr:colOff>8092</xdr:colOff>
                <xdr:row>0</xdr:row>
                <xdr:rowOff>0</xdr:rowOff>
              </from>
              <to>
                <xdr:col>3</xdr:col>
                <xdr:colOff>906308</xdr:colOff>
                <xdr:row>2</xdr:row>
                <xdr:rowOff>0</xdr:rowOff>
              </to>
            </anchor>
          </controlPr>
        </control>
      </mc:Choice>
      <mc:Fallback>
        <control shapeId="6146" r:id="rId4" name="CommandButtonDa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BM121"/>
  <sheetViews>
    <sheetView tabSelected="1" topLeftCell="A16" zoomScaleNormal="100" workbookViewId="0">
      <selection activeCell="B2" sqref="B2:G2"/>
    </sheetView>
  </sheetViews>
  <sheetFormatPr baseColWidth="10" defaultRowHeight="14.65" x14ac:dyDescent="0.3"/>
  <cols>
    <col min="1" max="1" width="24.44140625" style="27" customWidth="1"/>
    <col min="2" max="2" width="5.5546875" customWidth="1"/>
    <col min="3" max="3" width="2" customWidth="1"/>
    <col min="4" max="4" width="2.33203125" customWidth="1"/>
    <col min="5" max="5" width="0.33203125" customWidth="1"/>
    <col min="6" max="6" width="0.5546875" customWidth="1"/>
    <col min="7" max="7" width="13.44140625" customWidth="1"/>
    <col min="11" max="11" width="84.6640625" customWidth="1"/>
  </cols>
  <sheetData>
    <row r="1" spans="1:65" ht="20.9" customHeight="1" x14ac:dyDescent="0.35">
      <c r="A1" s="23" t="s">
        <v>0</v>
      </c>
      <c r="B1" s="35" t="e">
        <f>Données!B1</f>
        <v>#REF!</v>
      </c>
      <c r="C1" s="35"/>
      <c r="D1" s="35"/>
      <c r="E1" s="35"/>
      <c r="F1" s="35"/>
      <c r="G1" s="35"/>
      <c r="J1" s="38" t="s">
        <v>199</v>
      </c>
      <c r="K1" s="37" t="e">
        <f>CONCATENATE("https://api.wit-datacenter.com/",B1,"/Point/",B2,"?take=100")</f>
        <v>#REF!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</row>
    <row r="2" spans="1:65" ht="18.5" x14ac:dyDescent="0.35">
      <c r="A2" s="23" t="s">
        <v>17</v>
      </c>
      <c r="B2" s="36">
        <f>Données!G4</f>
        <v>8773</v>
      </c>
      <c r="C2" s="36"/>
      <c r="D2" s="36"/>
      <c r="E2" s="36"/>
      <c r="F2" s="36"/>
      <c r="G2" s="36"/>
      <c r="J2" s="38"/>
      <c r="K2" s="3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</row>
    <row r="3" spans="1:65" s="2" customFormat="1" ht="15.3" thickBot="1" x14ac:dyDescent="0.35">
      <c r="A3" s="24" t="s">
        <v>18</v>
      </c>
      <c r="B3" s="3" t="s">
        <v>19</v>
      </c>
      <c r="C3" s="3" t="s">
        <v>20</v>
      </c>
      <c r="D3" s="3" t="s">
        <v>21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</row>
    <row r="4" spans="1:65" s="1" customFormat="1" x14ac:dyDescent="0.3">
      <c r="A4" s="25" t="s">
        <v>697</v>
      </c>
      <c r="B4" s="11">
        <v>0</v>
      </c>
      <c r="C4" s="4"/>
      <c r="D4" s="4"/>
      <c r="E4" s="15">
        <f t="shared" ref="E4:E67" si="0">IF(LEN(A4)=5,A4,DATEVALUE(MID(A4,1,10))+TIMEVALUE(MID(A4,12,8)))</f>
        <v>42409.316643518519</v>
      </c>
      <c r="F4" s="11">
        <f t="shared" ref="F4:F67" si="1">_xlfn.NUMBERVALUE(SUBSTITUTE(B4,".",","))</f>
        <v>0</v>
      </c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</row>
    <row r="5" spans="1:65" s="1" customFormat="1" x14ac:dyDescent="0.3">
      <c r="A5" s="26" t="s">
        <v>153</v>
      </c>
      <c r="B5" s="12" t="s">
        <v>154</v>
      </c>
      <c r="C5" s="5"/>
      <c r="D5" s="5"/>
      <c r="E5" s="15">
        <f t="shared" si="0"/>
        <v>41963.561805555553</v>
      </c>
      <c r="F5" s="11">
        <f t="shared" si="1"/>
        <v>23.44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</row>
    <row r="6" spans="1:65" s="1" customFormat="1" x14ac:dyDescent="0.3">
      <c r="A6" s="25" t="s">
        <v>155</v>
      </c>
      <c r="B6" s="11" t="s">
        <v>154</v>
      </c>
      <c r="C6" s="4"/>
      <c r="D6" s="4"/>
      <c r="E6" s="15">
        <f t="shared" si="0"/>
        <v>41963.561111111114</v>
      </c>
      <c r="F6" s="11">
        <f t="shared" si="1"/>
        <v>23.44</v>
      </c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</row>
    <row r="7" spans="1:65" s="1" customFormat="1" x14ac:dyDescent="0.3">
      <c r="A7" s="26" t="s">
        <v>156</v>
      </c>
      <c r="B7" s="12" t="s">
        <v>157</v>
      </c>
      <c r="C7" s="5"/>
      <c r="D7" s="5"/>
      <c r="E7" s="15">
        <f t="shared" si="0"/>
        <v>41963.560416666667</v>
      </c>
      <c r="F7" s="11">
        <f t="shared" si="1"/>
        <v>23.5</v>
      </c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</row>
    <row r="8" spans="1:65" s="1" customFormat="1" x14ac:dyDescent="0.3">
      <c r="A8" s="25" t="s">
        <v>158</v>
      </c>
      <c r="B8" s="11" t="s">
        <v>159</v>
      </c>
      <c r="C8" s="4"/>
      <c r="D8" s="4"/>
      <c r="E8" s="15">
        <f t="shared" si="0"/>
        <v>41963.55972222222</v>
      </c>
      <c r="F8" s="11">
        <f t="shared" si="1"/>
        <v>23.47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</row>
    <row r="9" spans="1:65" s="1" customFormat="1" x14ac:dyDescent="0.3">
      <c r="A9" s="26" t="s">
        <v>160</v>
      </c>
      <c r="B9" s="12" t="s">
        <v>157</v>
      </c>
      <c r="C9" s="5"/>
      <c r="D9" s="5"/>
      <c r="E9" s="15">
        <f t="shared" si="0"/>
        <v>41963.559027777781</v>
      </c>
      <c r="F9" s="11">
        <f t="shared" si="1"/>
        <v>23.5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</row>
    <row r="10" spans="1:65" s="1" customFormat="1" x14ac:dyDescent="0.3">
      <c r="A10" s="25" t="s">
        <v>161</v>
      </c>
      <c r="B10" s="11" t="s">
        <v>162</v>
      </c>
      <c r="C10" s="4"/>
      <c r="D10" s="4"/>
      <c r="E10" s="15">
        <f t="shared" si="0"/>
        <v>41963.558333333334</v>
      </c>
      <c r="F10" s="11">
        <f t="shared" si="1"/>
        <v>23.45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</row>
    <row r="11" spans="1:65" s="1" customFormat="1" x14ac:dyDescent="0.3">
      <c r="A11" s="26" t="s">
        <v>163</v>
      </c>
      <c r="B11" s="12" t="s">
        <v>162</v>
      </c>
      <c r="C11" s="5"/>
      <c r="D11" s="5"/>
      <c r="E11" s="15">
        <f t="shared" si="0"/>
        <v>41963.557638888888</v>
      </c>
      <c r="F11" s="11">
        <f t="shared" si="1"/>
        <v>23.45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</row>
    <row r="12" spans="1:65" s="1" customFormat="1" x14ac:dyDescent="0.3">
      <c r="A12" s="25" t="s">
        <v>164</v>
      </c>
      <c r="B12" s="11" t="s">
        <v>154</v>
      </c>
      <c r="C12" s="4"/>
      <c r="D12" s="4"/>
      <c r="E12" s="15">
        <f t="shared" si="0"/>
        <v>41963.556944444441</v>
      </c>
      <c r="F12" s="11">
        <f t="shared" si="1"/>
        <v>23.44</v>
      </c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</row>
    <row r="13" spans="1:65" s="1" customFormat="1" x14ac:dyDescent="0.3">
      <c r="A13" s="26" t="s">
        <v>165</v>
      </c>
      <c r="B13" s="12" t="s">
        <v>166</v>
      </c>
      <c r="C13" s="5"/>
      <c r="D13" s="5"/>
      <c r="E13" s="15">
        <f t="shared" si="0"/>
        <v>41963.556250000001</v>
      </c>
      <c r="F13" s="11">
        <f t="shared" si="1"/>
        <v>23.43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</row>
    <row r="14" spans="1:65" s="1" customFormat="1" x14ac:dyDescent="0.3">
      <c r="A14" s="25" t="s">
        <v>167</v>
      </c>
      <c r="B14" s="11" t="s">
        <v>152</v>
      </c>
      <c r="C14" s="4"/>
      <c r="D14" s="4"/>
      <c r="E14" s="15">
        <f t="shared" si="0"/>
        <v>41963.555555555555</v>
      </c>
      <c r="F14" s="11">
        <f t="shared" si="1"/>
        <v>23.41</v>
      </c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</row>
    <row r="15" spans="1:65" s="1" customFormat="1" x14ac:dyDescent="0.3">
      <c r="A15" s="26" t="s">
        <v>168</v>
      </c>
      <c r="B15" s="12" t="s">
        <v>152</v>
      </c>
      <c r="C15" s="5"/>
      <c r="D15" s="5"/>
      <c r="E15" s="15">
        <f t="shared" si="0"/>
        <v>41963.554861111108</v>
      </c>
      <c r="F15" s="11">
        <f t="shared" si="1"/>
        <v>23.41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</row>
    <row r="16" spans="1:65" s="1" customFormat="1" x14ac:dyDescent="0.3">
      <c r="A16" s="25" t="s">
        <v>169</v>
      </c>
      <c r="B16" s="11" t="s">
        <v>170</v>
      </c>
      <c r="C16" s="4"/>
      <c r="D16" s="4"/>
      <c r="E16" s="15">
        <f t="shared" si="0"/>
        <v>41963.554166666669</v>
      </c>
      <c r="F16" s="11">
        <f t="shared" si="1"/>
        <v>23.46</v>
      </c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</row>
    <row r="17" spans="1:64" s="1" customFormat="1" x14ac:dyDescent="0.3">
      <c r="A17" s="26" t="s">
        <v>171</v>
      </c>
      <c r="B17" s="12" t="s">
        <v>172</v>
      </c>
      <c r="C17" s="5"/>
      <c r="D17" s="5"/>
      <c r="E17" s="15">
        <f t="shared" si="0"/>
        <v>41963.553472222222</v>
      </c>
      <c r="F17" s="11">
        <f t="shared" si="1"/>
        <v>23.39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</row>
    <row r="18" spans="1:64" s="1" customFormat="1" x14ac:dyDescent="0.3">
      <c r="A18" s="25" t="s">
        <v>173</v>
      </c>
      <c r="B18" s="11" t="s">
        <v>174</v>
      </c>
      <c r="C18" s="4"/>
      <c r="D18" s="4"/>
      <c r="E18" s="15">
        <f t="shared" si="0"/>
        <v>41963.552777777775</v>
      </c>
      <c r="F18" s="11">
        <f t="shared" si="1"/>
        <v>23.4</v>
      </c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</row>
    <row r="19" spans="1:64" s="1" customFormat="1" x14ac:dyDescent="0.3">
      <c r="A19" s="26" t="s">
        <v>175</v>
      </c>
      <c r="B19" s="12" t="s">
        <v>152</v>
      </c>
      <c r="C19" s="5"/>
      <c r="D19" s="5"/>
      <c r="E19" s="15">
        <f t="shared" si="0"/>
        <v>41963.552083333336</v>
      </c>
      <c r="F19" s="11">
        <f t="shared" si="1"/>
        <v>23.41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</row>
    <row r="20" spans="1:64" s="1" customFormat="1" x14ac:dyDescent="0.3">
      <c r="A20" s="25" t="s">
        <v>176</v>
      </c>
      <c r="B20" s="11" t="s">
        <v>177</v>
      </c>
      <c r="C20" s="4"/>
      <c r="D20" s="4"/>
      <c r="E20" s="15">
        <f t="shared" si="0"/>
        <v>41963.551388888889</v>
      </c>
      <c r="F20" s="11">
        <f t="shared" si="1"/>
        <v>23.35</v>
      </c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</row>
    <row r="21" spans="1:64" s="1" customFormat="1" x14ac:dyDescent="0.3">
      <c r="A21" s="26" t="s">
        <v>178</v>
      </c>
      <c r="B21" s="12" t="s">
        <v>179</v>
      </c>
      <c r="C21" s="5"/>
      <c r="D21" s="5"/>
      <c r="E21" s="15">
        <f t="shared" si="0"/>
        <v>41963.550694444442</v>
      </c>
      <c r="F21" s="11">
        <f t="shared" si="1"/>
        <v>23.37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</row>
    <row r="22" spans="1:64" s="1" customFormat="1" x14ac:dyDescent="0.3">
      <c r="A22" s="25" t="s">
        <v>180</v>
      </c>
      <c r="B22" s="11" t="s">
        <v>174</v>
      </c>
      <c r="C22" s="4"/>
      <c r="D22" s="4"/>
      <c r="E22" s="15">
        <f t="shared" si="0"/>
        <v>41963.55</v>
      </c>
      <c r="F22" s="11">
        <f t="shared" si="1"/>
        <v>23.4</v>
      </c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</row>
    <row r="23" spans="1:64" s="1" customFormat="1" x14ac:dyDescent="0.3">
      <c r="A23" s="26" t="s">
        <v>181</v>
      </c>
      <c r="B23" s="12" t="s">
        <v>182</v>
      </c>
      <c r="C23" s="5"/>
      <c r="D23" s="5"/>
      <c r="E23" s="15">
        <f t="shared" si="0"/>
        <v>41963.549305555556</v>
      </c>
      <c r="F23" s="11">
        <f t="shared" si="1"/>
        <v>23.38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</row>
    <row r="24" spans="1:64" s="1" customFormat="1" x14ac:dyDescent="0.3">
      <c r="A24" s="25" t="s">
        <v>183</v>
      </c>
      <c r="B24" s="11" t="s">
        <v>184</v>
      </c>
      <c r="C24" s="4"/>
      <c r="D24" s="4"/>
      <c r="E24" s="15">
        <f t="shared" si="0"/>
        <v>41963.548611111109</v>
      </c>
      <c r="F24" s="11">
        <f t="shared" si="1"/>
        <v>23.42</v>
      </c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</row>
    <row r="25" spans="1:64" s="1" customFormat="1" x14ac:dyDescent="0.3">
      <c r="A25" s="26" t="s">
        <v>185</v>
      </c>
      <c r="B25" s="12" t="s">
        <v>174</v>
      </c>
      <c r="C25" s="5"/>
      <c r="D25" s="5"/>
      <c r="E25" s="15">
        <f t="shared" si="0"/>
        <v>41963.54791666667</v>
      </c>
      <c r="F25" s="11">
        <f t="shared" si="1"/>
        <v>23.4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</row>
    <row r="26" spans="1:64" s="1" customFormat="1" x14ac:dyDescent="0.3">
      <c r="A26" s="25" t="s">
        <v>186</v>
      </c>
      <c r="B26" s="11" t="s">
        <v>182</v>
      </c>
      <c r="C26" s="4"/>
      <c r="D26" s="4"/>
      <c r="E26" s="15">
        <f t="shared" si="0"/>
        <v>41963.547222222223</v>
      </c>
      <c r="F26" s="11">
        <f t="shared" si="1"/>
        <v>23.38</v>
      </c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</row>
    <row r="27" spans="1:64" s="1" customFormat="1" x14ac:dyDescent="0.3">
      <c r="A27" s="26" t="s">
        <v>187</v>
      </c>
      <c r="B27" s="12" t="s">
        <v>36</v>
      </c>
      <c r="C27" s="5"/>
      <c r="D27" s="5"/>
      <c r="E27" s="15">
        <f t="shared" si="0"/>
        <v>41963.546527777777</v>
      </c>
      <c r="F27" s="11">
        <f t="shared" si="1"/>
        <v>23.36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</row>
    <row r="28" spans="1:64" s="1" customFormat="1" x14ac:dyDescent="0.3">
      <c r="A28" s="25" t="s">
        <v>188</v>
      </c>
      <c r="B28" s="11" t="s">
        <v>179</v>
      </c>
      <c r="C28" s="4"/>
      <c r="D28" s="4"/>
      <c r="E28" s="15">
        <f t="shared" si="0"/>
        <v>41963.54583333333</v>
      </c>
      <c r="F28" s="11">
        <f t="shared" si="1"/>
        <v>23.37</v>
      </c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</row>
    <row r="29" spans="1:64" s="1" customFormat="1" x14ac:dyDescent="0.3">
      <c r="A29" s="26" t="s">
        <v>189</v>
      </c>
      <c r="B29" s="12" t="s">
        <v>190</v>
      </c>
      <c r="C29" s="5"/>
      <c r="D29" s="5"/>
      <c r="E29" s="15">
        <f t="shared" si="0"/>
        <v>41963.545138888891</v>
      </c>
      <c r="F29" s="11">
        <f t="shared" si="1"/>
        <v>23.34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</row>
    <row r="30" spans="1:64" s="1" customFormat="1" x14ac:dyDescent="0.3">
      <c r="A30" s="25" t="s">
        <v>191</v>
      </c>
      <c r="B30" s="11" t="s">
        <v>36</v>
      </c>
      <c r="C30" s="4"/>
      <c r="D30" s="4"/>
      <c r="E30" s="15">
        <f t="shared" si="0"/>
        <v>41963.544444444444</v>
      </c>
      <c r="F30" s="11">
        <f t="shared" si="1"/>
        <v>23.36</v>
      </c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</row>
    <row r="31" spans="1:64" s="1" customFormat="1" x14ac:dyDescent="0.3">
      <c r="A31" s="26" t="s">
        <v>192</v>
      </c>
      <c r="B31" s="12" t="s">
        <v>177</v>
      </c>
      <c r="C31" s="5"/>
      <c r="D31" s="5"/>
      <c r="E31" s="15">
        <f t="shared" si="0"/>
        <v>41963.543749999997</v>
      </c>
      <c r="F31" s="11">
        <f t="shared" si="1"/>
        <v>23.35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</row>
    <row r="32" spans="1:64" s="1" customFormat="1" x14ac:dyDescent="0.3">
      <c r="A32" s="25" t="s">
        <v>193</v>
      </c>
      <c r="B32" s="11" t="s">
        <v>172</v>
      </c>
      <c r="C32" s="4"/>
      <c r="D32" s="4"/>
      <c r="E32" s="15">
        <f t="shared" si="0"/>
        <v>41963.543055555558</v>
      </c>
      <c r="F32" s="11">
        <f t="shared" si="1"/>
        <v>23.39</v>
      </c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</row>
    <row r="33" spans="1:64" s="1" customFormat="1" x14ac:dyDescent="0.3">
      <c r="A33" s="26" t="s">
        <v>194</v>
      </c>
      <c r="B33" s="12" t="s">
        <v>182</v>
      </c>
      <c r="C33" s="5"/>
      <c r="D33" s="5"/>
      <c r="E33" s="15">
        <f t="shared" si="0"/>
        <v>41963.542361111111</v>
      </c>
      <c r="F33" s="11">
        <f t="shared" si="1"/>
        <v>23.38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</row>
    <row r="34" spans="1:64" s="1" customFormat="1" x14ac:dyDescent="0.3">
      <c r="A34" s="25" t="s">
        <v>195</v>
      </c>
      <c r="B34" s="11" t="s">
        <v>179</v>
      </c>
      <c r="C34" s="4"/>
      <c r="D34" s="4"/>
      <c r="E34" s="15">
        <f t="shared" si="0"/>
        <v>41963.541666666664</v>
      </c>
      <c r="F34" s="11">
        <f t="shared" si="1"/>
        <v>23.37</v>
      </c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</row>
    <row r="35" spans="1:64" s="1" customFormat="1" x14ac:dyDescent="0.3">
      <c r="A35" s="26" t="s">
        <v>196</v>
      </c>
      <c r="B35" s="12" t="s">
        <v>190</v>
      </c>
      <c r="C35" s="5"/>
      <c r="D35" s="5"/>
      <c r="E35" s="15">
        <f t="shared" si="0"/>
        <v>41963.540972222225</v>
      </c>
      <c r="F35" s="11">
        <f t="shared" si="1"/>
        <v>23.34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</row>
    <row r="36" spans="1:64" s="1" customFormat="1" x14ac:dyDescent="0.3">
      <c r="A36" s="25" t="s">
        <v>197</v>
      </c>
      <c r="B36" s="11" t="s">
        <v>190</v>
      </c>
      <c r="C36" s="4"/>
      <c r="D36" s="4"/>
      <c r="E36" s="15">
        <f t="shared" si="0"/>
        <v>41963.540277777778</v>
      </c>
      <c r="F36" s="11">
        <f t="shared" si="1"/>
        <v>23.34</v>
      </c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</row>
    <row r="37" spans="1:64" s="1" customFormat="1" x14ac:dyDescent="0.3">
      <c r="A37" s="26" t="s">
        <v>198</v>
      </c>
      <c r="B37" s="12" t="s">
        <v>36</v>
      </c>
      <c r="C37" s="5"/>
      <c r="D37" s="5"/>
      <c r="E37" s="15">
        <f t="shared" si="0"/>
        <v>41963.539583333331</v>
      </c>
      <c r="F37" s="11">
        <f t="shared" si="1"/>
        <v>23.36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</row>
    <row r="38" spans="1:64" s="1" customFormat="1" x14ac:dyDescent="0.3">
      <c r="A38" s="25" t="s">
        <v>35</v>
      </c>
      <c r="B38" s="11" t="s">
        <v>36</v>
      </c>
      <c r="C38" s="4"/>
      <c r="D38" s="4"/>
      <c r="E38" s="15">
        <f t="shared" si="0"/>
        <v>41963.538888888892</v>
      </c>
      <c r="F38" s="11">
        <f t="shared" si="1"/>
        <v>23.36</v>
      </c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</row>
    <row r="39" spans="1:64" s="1" customFormat="1" x14ac:dyDescent="0.3">
      <c r="A39" s="26" t="s">
        <v>37</v>
      </c>
      <c r="B39" s="12" t="s">
        <v>38</v>
      </c>
      <c r="C39" s="5"/>
      <c r="D39" s="5"/>
      <c r="E39" s="15">
        <f t="shared" si="0"/>
        <v>41963.538194444445</v>
      </c>
      <c r="F39" s="11">
        <f t="shared" si="1"/>
        <v>23.29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</row>
    <row r="40" spans="1:64" s="1" customFormat="1" x14ac:dyDescent="0.3">
      <c r="A40" s="25" t="s">
        <v>39</v>
      </c>
      <c r="B40" s="11" t="s">
        <v>40</v>
      </c>
      <c r="C40" s="4"/>
      <c r="D40" s="4"/>
      <c r="E40" s="15">
        <f t="shared" si="0"/>
        <v>41963.537499999999</v>
      </c>
      <c r="F40" s="11">
        <f t="shared" si="1"/>
        <v>23.23</v>
      </c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</row>
    <row r="41" spans="1:64" s="1" customFormat="1" x14ac:dyDescent="0.3">
      <c r="A41" s="26" t="s">
        <v>41</v>
      </c>
      <c r="B41" s="12" t="s">
        <v>42</v>
      </c>
      <c r="C41" s="5"/>
      <c r="D41" s="5"/>
      <c r="E41" s="15">
        <f t="shared" si="0"/>
        <v>41963.536805555559</v>
      </c>
      <c r="F41" s="11">
        <f t="shared" si="1"/>
        <v>23.27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</row>
    <row r="42" spans="1:64" s="1" customFormat="1" x14ac:dyDescent="0.3">
      <c r="A42" s="25" t="s">
        <v>43</v>
      </c>
      <c r="B42" s="11" t="s">
        <v>42</v>
      </c>
      <c r="C42" s="4"/>
      <c r="D42" s="4"/>
      <c r="E42" s="15">
        <f t="shared" si="0"/>
        <v>41963.536111111112</v>
      </c>
      <c r="F42" s="11">
        <f t="shared" si="1"/>
        <v>23.27</v>
      </c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</row>
    <row r="43" spans="1:64" s="1" customFormat="1" x14ac:dyDescent="0.3">
      <c r="A43" s="26" t="s">
        <v>44</v>
      </c>
      <c r="B43" s="12" t="s">
        <v>45</v>
      </c>
      <c r="C43" s="5"/>
      <c r="D43" s="5"/>
      <c r="E43" s="15">
        <f t="shared" si="0"/>
        <v>41963.535416666666</v>
      </c>
      <c r="F43" s="11">
        <f t="shared" si="1"/>
        <v>23.24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</row>
    <row r="44" spans="1:64" s="1" customFormat="1" x14ac:dyDescent="0.3">
      <c r="A44" s="25" t="s">
        <v>46</v>
      </c>
      <c r="B44" s="11" t="s">
        <v>47</v>
      </c>
      <c r="C44" s="4"/>
      <c r="D44" s="4"/>
      <c r="E44" s="15">
        <f t="shared" si="0"/>
        <v>41963.534722222219</v>
      </c>
      <c r="F44" s="11">
        <f t="shared" si="1"/>
        <v>23.2</v>
      </c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</row>
    <row r="45" spans="1:64" s="1" customFormat="1" x14ac:dyDescent="0.3">
      <c r="A45" s="26" t="s">
        <v>48</v>
      </c>
      <c r="B45" s="12" t="s">
        <v>49</v>
      </c>
      <c r="C45" s="5"/>
      <c r="D45" s="5"/>
      <c r="E45" s="15">
        <f t="shared" si="0"/>
        <v>41963.53402777778</v>
      </c>
      <c r="F45" s="11">
        <f t="shared" si="1"/>
        <v>23.13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</row>
    <row r="46" spans="1:64" s="1" customFormat="1" x14ac:dyDescent="0.3">
      <c r="A46" s="25" t="s">
        <v>50</v>
      </c>
      <c r="B46" s="11" t="s">
        <v>51</v>
      </c>
      <c r="C46" s="4"/>
      <c r="D46" s="4"/>
      <c r="E46" s="15">
        <f t="shared" si="0"/>
        <v>41963.533333333333</v>
      </c>
      <c r="F46" s="11">
        <f t="shared" si="1"/>
        <v>23.12</v>
      </c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</row>
    <row r="47" spans="1:64" s="1" customFormat="1" x14ac:dyDescent="0.3">
      <c r="A47" s="26" t="s">
        <v>52</v>
      </c>
      <c r="B47" s="12" t="s">
        <v>53</v>
      </c>
      <c r="C47" s="5"/>
      <c r="D47" s="5"/>
      <c r="E47" s="15">
        <f t="shared" si="0"/>
        <v>41963.532638888886</v>
      </c>
      <c r="F47" s="11">
        <f t="shared" si="1"/>
        <v>23.16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</row>
    <row r="48" spans="1:64" s="1" customFormat="1" x14ac:dyDescent="0.3">
      <c r="A48" s="25" t="s">
        <v>54</v>
      </c>
      <c r="B48" s="11" t="s">
        <v>55</v>
      </c>
      <c r="C48" s="4"/>
      <c r="D48" s="4"/>
      <c r="E48" s="15">
        <f t="shared" si="0"/>
        <v>41963.531944444447</v>
      </c>
      <c r="F48" s="11">
        <f t="shared" si="1"/>
        <v>23.14</v>
      </c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</row>
    <row r="49" spans="1:64" s="1" customFormat="1" x14ac:dyDescent="0.3">
      <c r="A49" s="26" t="s">
        <v>56</v>
      </c>
      <c r="B49" s="12" t="s">
        <v>57</v>
      </c>
      <c r="C49" s="5"/>
      <c r="D49" s="5"/>
      <c r="E49" s="15">
        <f t="shared" si="0"/>
        <v>41963.53125</v>
      </c>
      <c r="F49" s="11">
        <f t="shared" si="1"/>
        <v>23.1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</row>
    <row r="50" spans="1:64" s="1" customFormat="1" x14ac:dyDescent="0.3">
      <c r="A50" s="25" t="s">
        <v>58</v>
      </c>
      <c r="B50" s="11" t="s">
        <v>59</v>
      </c>
      <c r="C50" s="4"/>
      <c r="D50" s="4"/>
      <c r="E50" s="15">
        <f t="shared" si="0"/>
        <v>41963.530555555553</v>
      </c>
      <c r="F50" s="11">
        <f t="shared" si="1"/>
        <v>23.11</v>
      </c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</row>
    <row r="51" spans="1:64" s="1" customFormat="1" x14ac:dyDescent="0.3">
      <c r="A51" s="26" t="s">
        <v>60</v>
      </c>
      <c r="B51" s="12" t="s">
        <v>55</v>
      </c>
      <c r="C51" s="5"/>
      <c r="D51" s="5"/>
      <c r="E51" s="15">
        <f t="shared" si="0"/>
        <v>41963.529861111114</v>
      </c>
      <c r="F51" s="11">
        <f t="shared" si="1"/>
        <v>23.14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</row>
    <row r="52" spans="1:64" s="1" customFormat="1" x14ac:dyDescent="0.3">
      <c r="A52" s="25" t="s">
        <v>61</v>
      </c>
      <c r="B52" s="11" t="s">
        <v>62</v>
      </c>
      <c r="C52" s="4"/>
      <c r="D52" s="4"/>
      <c r="E52" s="15">
        <f t="shared" si="0"/>
        <v>41963.529166666667</v>
      </c>
      <c r="F52" s="11">
        <f t="shared" si="1"/>
        <v>23.06</v>
      </c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</row>
    <row r="53" spans="1:64" s="1" customFormat="1" x14ac:dyDescent="0.3">
      <c r="A53" s="26" t="s">
        <v>63</v>
      </c>
      <c r="B53" s="12" t="s">
        <v>64</v>
      </c>
      <c r="C53" s="5"/>
      <c r="D53" s="5"/>
      <c r="E53" s="15">
        <f t="shared" si="0"/>
        <v>41963.52847222222</v>
      </c>
      <c r="F53" s="11">
        <f t="shared" si="1"/>
        <v>23.04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</row>
    <row r="54" spans="1:64" s="1" customFormat="1" x14ac:dyDescent="0.3">
      <c r="A54" s="25" t="s">
        <v>65</v>
      </c>
      <c r="B54" s="11" t="s">
        <v>66</v>
      </c>
      <c r="C54" s="4"/>
      <c r="D54" s="4"/>
      <c r="E54" s="15">
        <f t="shared" si="0"/>
        <v>41963.527777777781</v>
      </c>
      <c r="F54" s="11">
        <f t="shared" si="1"/>
        <v>23.08</v>
      </c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</row>
    <row r="55" spans="1:64" s="1" customFormat="1" x14ac:dyDescent="0.3">
      <c r="A55" s="26" t="s">
        <v>67</v>
      </c>
      <c r="B55" s="12" t="s">
        <v>68</v>
      </c>
      <c r="C55" s="5"/>
      <c r="D55" s="5"/>
      <c r="E55" s="15">
        <f t="shared" si="0"/>
        <v>41963.527083333334</v>
      </c>
      <c r="F55" s="11">
        <f t="shared" si="1"/>
        <v>23.01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</row>
    <row r="56" spans="1:64" s="1" customFormat="1" x14ac:dyDescent="0.3">
      <c r="A56" s="25" t="s">
        <v>69</v>
      </c>
      <c r="B56" s="11" t="s">
        <v>70</v>
      </c>
      <c r="C56" s="4"/>
      <c r="D56" s="4"/>
      <c r="E56" s="15">
        <f t="shared" si="0"/>
        <v>41963.526388888888</v>
      </c>
      <c r="F56" s="11">
        <f t="shared" si="1"/>
        <v>22.95</v>
      </c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</row>
    <row r="57" spans="1:64" s="1" customFormat="1" x14ac:dyDescent="0.3">
      <c r="A57" s="26" t="s">
        <v>71</v>
      </c>
      <c r="B57" s="12" t="s">
        <v>72</v>
      </c>
      <c r="C57" s="5"/>
      <c r="D57" s="5"/>
      <c r="E57" s="15">
        <f t="shared" si="0"/>
        <v>41963.525694444441</v>
      </c>
      <c r="F57" s="11">
        <f t="shared" si="1"/>
        <v>22.89</v>
      </c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</row>
    <row r="58" spans="1:64" s="1" customFormat="1" x14ac:dyDescent="0.3">
      <c r="A58" s="25" t="s">
        <v>73</v>
      </c>
      <c r="B58" s="11" t="s">
        <v>70</v>
      </c>
      <c r="C58" s="4"/>
      <c r="D58" s="4"/>
      <c r="E58" s="15">
        <f t="shared" si="0"/>
        <v>41963.525000000001</v>
      </c>
      <c r="F58" s="11">
        <f t="shared" si="1"/>
        <v>22.95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</row>
    <row r="59" spans="1:64" s="1" customFormat="1" x14ac:dyDescent="0.3">
      <c r="A59" s="26" t="s">
        <v>74</v>
      </c>
      <c r="B59" s="12" t="s">
        <v>75</v>
      </c>
      <c r="C59" s="5"/>
      <c r="D59" s="5"/>
      <c r="E59" s="15">
        <f t="shared" si="0"/>
        <v>41963.524305555555</v>
      </c>
      <c r="F59" s="11">
        <f t="shared" si="1"/>
        <v>22.98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</row>
    <row r="60" spans="1:64" s="1" customFormat="1" x14ac:dyDescent="0.3">
      <c r="A60" s="25" t="s">
        <v>76</v>
      </c>
      <c r="B60" s="11" t="s">
        <v>77</v>
      </c>
      <c r="C60" s="4"/>
      <c r="D60" s="4"/>
      <c r="E60" s="15">
        <f t="shared" si="0"/>
        <v>41963.523611111108</v>
      </c>
      <c r="F60" s="11">
        <f t="shared" si="1"/>
        <v>22.94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</row>
    <row r="61" spans="1:64" s="1" customFormat="1" x14ac:dyDescent="0.3">
      <c r="A61" s="26" t="s">
        <v>78</v>
      </c>
      <c r="B61" s="12" t="s">
        <v>79</v>
      </c>
      <c r="C61" s="5"/>
      <c r="D61" s="5"/>
      <c r="E61" s="15">
        <f t="shared" si="0"/>
        <v>41963.522916666669</v>
      </c>
      <c r="F61" s="11">
        <f t="shared" si="1"/>
        <v>22.91</v>
      </c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</row>
    <row r="62" spans="1:64" s="1" customFormat="1" x14ac:dyDescent="0.3">
      <c r="A62" s="25" t="s">
        <v>80</v>
      </c>
      <c r="B62" s="11" t="s">
        <v>81</v>
      </c>
      <c r="C62" s="4"/>
      <c r="D62" s="4"/>
      <c r="E62" s="15">
        <f t="shared" si="0"/>
        <v>41963.522222222222</v>
      </c>
      <c r="F62" s="11">
        <f t="shared" si="1"/>
        <v>22.88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</row>
    <row r="63" spans="1:64" s="1" customFormat="1" x14ac:dyDescent="0.3">
      <c r="A63" s="26" t="s">
        <v>82</v>
      </c>
      <c r="B63" s="12" t="s">
        <v>83</v>
      </c>
      <c r="C63" s="5"/>
      <c r="D63" s="5"/>
      <c r="E63" s="15">
        <f t="shared" si="0"/>
        <v>41963.521527777775</v>
      </c>
      <c r="F63" s="11">
        <f t="shared" si="1"/>
        <v>22.82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</row>
    <row r="64" spans="1:64" s="1" customFormat="1" x14ac:dyDescent="0.3">
      <c r="A64" s="25" t="s">
        <v>84</v>
      </c>
      <c r="B64" s="11" t="s">
        <v>85</v>
      </c>
      <c r="C64" s="4"/>
      <c r="D64" s="4"/>
      <c r="E64" s="15">
        <f t="shared" si="0"/>
        <v>41963.520833333336</v>
      </c>
      <c r="F64" s="11">
        <f t="shared" si="1"/>
        <v>22.73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</row>
    <row r="65" spans="1:64" s="1" customFormat="1" x14ac:dyDescent="0.3">
      <c r="A65" s="26" t="s">
        <v>86</v>
      </c>
      <c r="B65" s="12" t="s">
        <v>87</v>
      </c>
      <c r="C65" s="5"/>
      <c r="D65" s="5"/>
      <c r="E65" s="15">
        <f t="shared" si="0"/>
        <v>41963.520138888889</v>
      </c>
      <c r="F65" s="11">
        <f t="shared" si="1"/>
        <v>22.81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</row>
    <row r="66" spans="1:64" s="1" customFormat="1" x14ac:dyDescent="0.3">
      <c r="A66" s="25" t="s">
        <v>88</v>
      </c>
      <c r="B66" s="11" t="s">
        <v>89</v>
      </c>
      <c r="C66" s="4"/>
      <c r="D66" s="4"/>
      <c r="E66" s="15">
        <f t="shared" si="0"/>
        <v>41963.519444444442</v>
      </c>
      <c r="F66" s="11">
        <f t="shared" si="1"/>
        <v>22.74</v>
      </c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</row>
    <row r="67" spans="1:64" s="1" customFormat="1" x14ac:dyDescent="0.3">
      <c r="A67" s="26" t="s">
        <v>90</v>
      </c>
      <c r="B67" s="12" t="s">
        <v>91</v>
      </c>
      <c r="C67" s="5"/>
      <c r="D67" s="5"/>
      <c r="E67" s="15">
        <f t="shared" si="0"/>
        <v>41963.518750000003</v>
      </c>
      <c r="F67" s="11">
        <f t="shared" si="1"/>
        <v>22.79</v>
      </c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</row>
    <row r="68" spans="1:64" s="1" customFormat="1" x14ac:dyDescent="0.3">
      <c r="A68" s="25" t="s">
        <v>92</v>
      </c>
      <c r="B68" s="11" t="s">
        <v>93</v>
      </c>
      <c r="C68" s="4"/>
      <c r="D68" s="4"/>
      <c r="E68" s="15">
        <f t="shared" ref="E68:E81" si="2">IF(LEN(A68)=5,A68,DATEVALUE(MID(A68,1,10))+TIMEVALUE(MID(A68,12,8)))</f>
        <v>41963.518055555556</v>
      </c>
      <c r="F68" s="11">
        <f t="shared" ref="F68:F102" si="3">_xlfn.NUMBERVALUE(SUBSTITUTE(B68,".",","))</f>
        <v>22.85</v>
      </c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</row>
    <row r="69" spans="1:64" s="1" customFormat="1" x14ac:dyDescent="0.3">
      <c r="A69" s="26" t="s">
        <v>94</v>
      </c>
      <c r="B69" s="12" t="s">
        <v>95</v>
      </c>
      <c r="C69" s="5"/>
      <c r="D69" s="5"/>
      <c r="E69" s="15">
        <f t="shared" si="2"/>
        <v>41963.517361111109</v>
      </c>
      <c r="F69" s="11">
        <f t="shared" si="3"/>
        <v>22.87</v>
      </c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</row>
    <row r="70" spans="1:64" s="1" customFormat="1" x14ac:dyDescent="0.3">
      <c r="A70" s="25" t="s">
        <v>96</v>
      </c>
      <c r="B70" s="11" t="s">
        <v>87</v>
      </c>
      <c r="C70" s="4"/>
      <c r="D70" s="4"/>
      <c r="E70" s="15">
        <f t="shared" si="2"/>
        <v>41963.51666666667</v>
      </c>
      <c r="F70" s="11">
        <f t="shared" si="3"/>
        <v>22.81</v>
      </c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</row>
    <row r="71" spans="1:64" s="1" customFormat="1" x14ac:dyDescent="0.3">
      <c r="A71" s="26" t="s">
        <v>97</v>
      </c>
      <c r="B71" s="12" t="s">
        <v>83</v>
      </c>
      <c r="C71" s="5"/>
      <c r="D71" s="5"/>
      <c r="E71" s="15">
        <f t="shared" si="2"/>
        <v>41963.515972222223</v>
      </c>
      <c r="F71" s="11">
        <f t="shared" si="3"/>
        <v>22.82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</row>
    <row r="72" spans="1:64" s="1" customFormat="1" x14ac:dyDescent="0.3">
      <c r="A72" s="25" t="s">
        <v>98</v>
      </c>
      <c r="B72" s="11" t="s">
        <v>99</v>
      </c>
      <c r="C72" s="4"/>
      <c r="D72" s="4"/>
      <c r="E72" s="15">
        <f t="shared" si="2"/>
        <v>41963.515277777777</v>
      </c>
      <c r="F72" s="11">
        <f t="shared" si="3"/>
        <v>22.78</v>
      </c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</row>
    <row r="73" spans="1:64" s="1" customFormat="1" x14ac:dyDescent="0.3">
      <c r="A73" s="26" t="s">
        <v>100</v>
      </c>
      <c r="B73" s="12" t="s">
        <v>101</v>
      </c>
      <c r="C73" s="5"/>
      <c r="D73" s="5"/>
      <c r="E73" s="15">
        <f t="shared" si="2"/>
        <v>41963.51458333333</v>
      </c>
      <c r="F73" s="11">
        <f t="shared" si="3"/>
        <v>22.71</v>
      </c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</row>
    <row r="74" spans="1:64" s="1" customFormat="1" x14ac:dyDescent="0.3">
      <c r="A74" s="25" t="s">
        <v>102</v>
      </c>
      <c r="B74" s="11" t="s">
        <v>103</v>
      </c>
      <c r="C74" s="4"/>
      <c r="D74" s="4"/>
      <c r="E74" s="15">
        <f t="shared" si="2"/>
        <v>41963.513888888891</v>
      </c>
      <c r="F74" s="11">
        <f t="shared" si="3"/>
        <v>22.63</v>
      </c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</row>
    <row r="75" spans="1:64" s="1" customFormat="1" x14ac:dyDescent="0.3">
      <c r="A75" s="26" t="s">
        <v>104</v>
      </c>
      <c r="B75" s="12" t="s">
        <v>105</v>
      </c>
      <c r="C75" s="5"/>
      <c r="D75" s="5"/>
      <c r="E75" s="15">
        <f t="shared" si="2"/>
        <v>41963.513194444444</v>
      </c>
      <c r="F75" s="11">
        <f t="shared" si="3"/>
        <v>22.68</v>
      </c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</row>
    <row r="76" spans="1:64" s="1" customFormat="1" x14ac:dyDescent="0.3">
      <c r="A76" s="25" t="s">
        <v>106</v>
      </c>
      <c r="B76" s="11" t="s">
        <v>107</v>
      </c>
      <c r="C76" s="4"/>
      <c r="D76" s="4"/>
      <c r="E76" s="15">
        <f t="shared" si="2"/>
        <v>41963.512499999997</v>
      </c>
      <c r="F76" s="11">
        <f t="shared" si="3"/>
        <v>22.69</v>
      </c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</row>
    <row r="77" spans="1:64" s="1" customFormat="1" x14ac:dyDescent="0.3">
      <c r="A77" s="26" t="s">
        <v>108</v>
      </c>
      <c r="B77" s="12" t="s">
        <v>101</v>
      </c>
      <c r="C77" s="5"/>
      <c r="D77" s="5"/>
      <c r="E77" s="15">
        <f t="shared" si="2"/>
        <v>41963.511805555558</v>
      </c>
      <c r="F77" s="11">
        <f t="shared" si="3"/>
        <v>22.71</v>
      </c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</row>
    <row r="78" spans="1:64" s="1" customFormat="1" x14ac:dyDescent="0.3">
      <c r="A78" s="25" t="s">
        <v>109</v>
      </c>
      <c r="B78" s="11" t="s">
        <v>107</v>
      </c>
      <c r="C78" s="4"/>
      <c r="D78" s="4"/>
      <c r="E78" s="15">
        <f t="shared" si="2"/>
        <v>41963.511111111111</v>
      </c>
      <c r="F78" s="11">
        <f t="shared" si="3"/>
        <v>22.69</v>
      </c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</row>
    <row r="79" spans="1:64" s="1" customFormat="1" x14ac:dyDescent="0.3">
      <c r="A79" s="26" t="s">
        <v>110</v>
      </c>
      <c r="B79" s="12" t="s">
        <v>111</v>
      </c>
      <c r="C79" s="5"/>
      <c r="D79" s="5"/>
      <c r="E79" s="15">
        <f t="shared" si="2"/>
        <v>41963.510416666664</v>
      </c>
      <c r="F79" s="11">
        <f t="shared" si="3"/>
        <v>22.66</v>
      </c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</row>
    <row r="80" spans="1:64" s="1" customFormat="1" x14ac:dyDescent="0.3">
      <c r="A80" s="25" t="s">
        <v>112</v>
      </c>
      <c r="B80" s="11" t="s">
        <v>113</v>
      </c>
      <c r="C80" s="4"/>
      <c r="D80" s="4"/>
      <c r="E80" s="15">
        <f t="shared" si="2"/>
        <v>41963.509722222225</v>
      </c>
      <c r="F80" s="11">
        <f t="shared" si="3"/>
        <v>22.62</v>
      </c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</row>
    <row r="81" spans="1:64" s="1" customFormat="1" x14ac:dyDescent="0.3">
      <c r="A81" s="26" t="s">
        <v>114</v>
      </c>
      <c r="B81" s="12" t="s">
        <v>103</v>
      </c>
      <c r="C81" s="5"/>
      <c r="D81" s="5"/>
      <c r="E81" s="15">
        <f t="shared" si="2"/>
        <v>41963.509027777778</v>
      </c>
      <c r="F81" s="11">
        <f t="shared" si="3"/>
        <v>22.63</v>
      </c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</row>
    <row r="82" spans="1:64" s="1" customFormat="1" x14ac:dyDescent="0.3">
      <c r="A82" s="25" t="s">
        <v>115</v>
      </c>
      <c r="B82" s="11" t="s">
        <v>116</v>
      </c>
      <c r="C82" s="4"/>
      <c r="D82" s="4"/>
      <c r="E82" s="15">
        <f>IF(LEN(A82)=5,A82,DATEVALUE(MID(A82,1,10))+TIMEVALUE(MID(A82,12,8)))</f>
        <v>41963.508333333331</v>
      </c>
      <c r="F82" s="11">
        <f t="shared" si="3"/>
        <v>22.58</v>
      </c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</row>
    <row r="83" spans="1:64" s="1" customFormat="1" x14ac:dyDescent="0.3">
      <c r="A83" s="26" t="s">
        <v>117</v>
      </c>
      <c r="B83" s="12" t="s">
        <v>118</v>
      </c>
      <c r="C83" s="5"/>
      <c r="D83" s="5"/>
      <c r="E83" s="15">
        <f t="shared" ref="E83:E102" si="4">IF(LEN(A83)=5,A83,DATEVALUE(MID(A83,1,10))+TIMEVALUE(MID(A83,12,8)))</f>
        <v>41963.507638888892</v>
      </c>
      <c r="F83" s="11">
        <f t="shared" si="3"/>
        <v>22.53</v>
      </c>
      <c r="G83" s="22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</row>
    <row r="84" spans="1:64" s="1" customFormat="1" x14ac:dyDescent="0.3">
      <c r="A84" s="7" t="s">
        <v>119</v>
      </c>
      <c r="B84" s="11" t="s">
        <v>120</v>
      </c>
      <c r="C84" s="4"/>
      <c r="D84" s="4"/>
      <c r="E84" s="15">
        <f t="shared" si="4"/>
        <v>41963.506944444445</v>
      </c>
      <c r="F84" s="11">
        <f t="shared" si="3"/>
        <v>22.56</v>
      </c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</row>
    <row r="85" spans="1:64" s="1" customFormat="1" x14ac:dyDescent="0.3">
      <c r="A85" s="26" t="s">
        <v>121</v>
      </c>
      <c r="B85" s="12" t="s">
        <v>116</v>
      </c>
      <c r="C85" s="5"/>
      <c r="D85" s="5"/>
      <c r="E85" s="15">
        <f t="shared" si="4"/>
        <v>41963.506249999999</v>
      </c>
      <c r="F85" s="11">
        <f t="shared" si="3"/>
        <v>22.58</v>
      </c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</row>
    <row r="86" spans="1:64" s="1" customFormat="1" x14ac:dyDescent="0.3">
      <c r="A86" s="25" t="s">
        <v>122</v>
      </c>
      <c r="B86" s="11" t="s">
        <v>123</v>
      </c>
      <c r="C86" s="4"/>
      <c r="D86" s="4"/>
      <c r="E86" s="15">
        <f t="shared" si="4"/>
        <v>41963.505555555559</v>
      </c>
      <c r="F86" s="11">
        <f t="shared" si="3"/>
        <v>22.6</v>
      </c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</row>
    <row r="87" spans="1:64" s="1" customFormat="1" x14ac:dyDescent="0.3">
      <c r="A87" s="26" t="s">
        <v>124</v>
      </c>
      <c r="B87" s="12" t="s">
        <v>125</v>
      </c>
      <c r="C87" s="5"/>
      <c r="D87" s="5"/>
      <c r="E87" s="15">
        <f t="shared" si="4"/>
        <v>41963.504861111112</v>
      </c>
      <c r="F87" s="11">
        <f t="shared" si="3"/>
        <v>22.61</v>
      </c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</row>
    <row r="88" spans="1:64" s="1" customFormat="1" x14ac:dyDescent="0.3">
      <c r="A88" s="25" t="s">
        <v>126</v>
      </c>
      <c r="B88" s="11" t="s">
        <v>116</v>
      </c>
      <c r="C88" s="4"/>
      <c r="D88" s="4"/>
      <c r="E88" s="15">
        <f t="shared" si="4"/>
        <v>41963.504166666666</v>
      </c>
      <c r="F88" s="11">
        <f t="shared" si="3"/>
        <v>22.58</v>
      </c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</row>
    <row r="89" spans="1:64" s="1" customFormat="1" x14ac:dyDescent="0.3">
      <c r="A89" s="26" t="s">
        <v>127</v>
      </c>
      <c r="B89" s="12" t="s">
        <v>120</v>
      </c>
      <c r="C89" s="5"/>
      <c r="D89" s="5"/>
      <c r="E89" s="15">
        <f t="shared" si="4"/>
        <v>41963.503472222219</v>
      </c>
      <c r="F89" s="11">
        <f t="shared" si="3"/>
        <v>22.56</v>
      </c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</row>
    <row r="90" spans="1:64" s="1" customFormat="1" x14ac:dyDescent="0.3">
      <c r="A90" s="25" t="s">
        <v>128</v>
      </c>
      <c r="B90" s="11" t="s">
        <v>120</v>
      </c>
      <c r="C90" s="4"/>
      <c r="D90" s="4"/>
      <c r="E90" s="15">
        <f t="shared" si="4"/>
        <v>41963.50277777778</v>
      </c>
      <c r="F90" s="11">
        <f t="shared" si="3"/>
        <v>22.56</v>
      </c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</row>
    <row r="91" spans="1:64" s="1" customFormat="1" x14ac:dyDescent="0.3">
      <c r="A91" s="26" t="s">
        <v>129</v>
      </c>
      <c r="B91" s="12" t="s">
        <v>130</v>
      </c>
      <c r="C91" s="5"/>
      <c r="D91" s="5"/>
      <c r="E91" s="15">
        <f t="shared" si="4"/>
        <v>41963.502083333333</v>
      </c>
      <c r="F91" s="11">
        <f t="shared" si="3"/>
        <v>22.51</v>
      </c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</row>
    <row r="92" spans="1:64" s="1" customFormat="1" x14ac:dyDescent="0.3">
      <c r="A92" s="25" t="s">
        <v>131</v>
      </c>
      <c r="B92" s="11" t="s">
        <v>132</v>
      </c>
      <c r="C92" s="4"/>
      <c r="D92" s="4"/>
      <c r="E92" s="15">
        <f t="shared" si="4"/>
        <v>41963.501388888886</v>
      </c>
      <c r="F92" s="11">
        <f t="shared" si="3"/>
        <v>22.49</v>
      </c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</row>
    <row r="93" spans="1:64" s="1" customFormat="1" x14ac:dyDescent="0.3">
      <c r="A93" s="26" t="s">
        <v>133</v>
      </c>
      <c r="B93" s="12" t="s">
        <v>132</v>
      </c>
      <c r="C93" s="5"/>
      <c r="D93" s="5"/>
      <c r="E93" s="15">
        <f t="shared" si="4"/>
        <v>41963.500694444447</v>
      </c>
      <c r="F93" s="11">
        <f t="shared" si="3"/>
        <v>22.49</v>
      </c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</row>
    <row r="94" spans="1:64" s="1" customFormat="1" x14ac:dyDescent="0.3">
      <c r="A94" s="25" t="s">
        <v>134</v>
      </c>
      <c r="B94" s="11" t="s">
        <v>118</v>
      </c>
      <c r="C94" s="4"/>
      <c r="D94" s="4"/>
      <c r="E94" s="15">
        <f t="shared" si="4"/>
        <v>41963.5</v>
      </c>
      <c r="F94" s="11">
        <f t="shared" si="3"/>
        <v>22.53</v>
      </c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</row>
    <row r="95" spans="1:64" s="1" customFormat="1" x14ac:dyDescent="0.3">
      <c r="A95" s="26" t="s">
        <v>135</v>
      </c>
      <c r="B95" s="12" t="s">
        <v>132</v>
      </c>
      <c r="C95" s="5"/>
      <c r="D95" s="5"/>
      <c r="E95" s="15">
        <f t="shared" si="4"/>
        <v>41963.499305555553</v>
      </c>
      <c r="F95" s="11">
        <f t="shared" si="3"/>
        <v>22.49</v>
      </c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</row>
    <row r="96" spans="1:64" s="1" customFormat="1" x14ac:dyDescent="0.3">
      <c r="A96" s="25" t="s">
        <v>136</v>
      </c>
      <c r="B96" s="11" t="s">
        <v>137</v>
      </c>
      <c r="C96" s="4"/>
      <c r="D96" s="4"/>
      <c r="E96" s="15">
        <f t="shared" si="4"/>
        <v>41963.498611111114</v>
      </c>
      <c r="F96" s="11">
        <f t="shared" si="3"/>
        <v>22.48</v>
      </c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</row>
    <row r="97" spans="1:64" s="1" customFormat="1" x14ac:dyDescent="0.3">
      <c r="A97" s="26" t="s">
        <v>138</v>
      </c>
      <c r="B97" s="12" t="s">
        <v>139</v>
      </c>
      <c r="C97" s="5"/>
      <c r="D97" s="5"/>
      <c r="E97" s="15">
        <f t="shared" si="4"/>
        <v>41963.497916666667</v>
      </c>
      <c r="F97" s="11">
        <f t="shared" si="3"/>
        <v>22.47</v>
      </c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</row>
    <row r="98" spans="1:64" s="1" customFormat="1" x14ac:dyDescent="0.3">
      <c r="A98" s="25" t="s">
        <v>140</v>
      </c>
      <c r="B98" s="11" t="s">
        <v>141</v>
      </c>
      <c r="C98" s="4"/>
      <c r="D98" s="4"/>
      <c r="E98" s="15">
        <f t="shared" si="4"/>
        <v>41963.49722222222</v>
      </c>
      <c r="F98" s="11">
        <f t="shared" si="3"/>
        <v>22.46</v>
      </c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</row>
    <row r="99" spans="1:64" s="1" customFormat="1" x14ac:dyDescent="0.3">
      <c r="A99" s="26" t="s">
        <v>142</v>
      </c>
      <c r="B99" s="12" t="s">
        <v>143</v>
      </c>
      <c r="C99" s="5"/>
      <c r="D99" s="5"/>
      <c r="E99" s="15">
        <f t="shared" si="4"/>
        <v>41963.496527777781</v>
      </c>
      <c r="F99" s="11">
        <f t="shared" si="3"/>
        <v>22.4</v>
      </c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</row>
    <row r="100" spans="1:64" s="1" customFormat="1" x14ac:dyDescent="0.3">
      <c r="A100" s="25" t="s">
        <v>144</v>
      </c>
      <c r="B100" s="11" t="s">
        <v>145</v>
      </c>
      <c r="C100" s="4"/>
      <c r="D100" s="4"/>
      <c r="E100" s="15">
        <f t="shared" si="4"/>
        <v>41963.495833333334</v>
      </c>
      <c r="F100" s="11">
        <f t="shared" si="3"/>
        <v>22.33</v>
      </c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</row>
    <row r="101" spans="1:64" s="1" customFormat="1" x14ac:dyDescent="0.3">
      <c r="A101" s="26" t="s">
        <v>146</v>
      </c>
      <c r="B101" s="12" t="s">
        <v>147</v>
      </c>
      <c r="C101" s="5"/>
      <c r="D101" s="5"/>
      <c r="E101" s="15">
        <f t="shared" si="4"/>
        <v>41963.495138888888</v>
      </c>
      <c r="F101" s="11">
        <f t="shared" si="3"/>
        <v>22.39</v>
      </c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</row>
    <row r="102" spans="1:64" s="1" customFormat="1" x14ac:dyDescent="0.3">
      <c r="A102" s="25" t="s">
        <v>148</v>
      </c>
      <c r="B102" s="11" t="s">
        <v>149</v>
      </c>
      <c r="C102" s="4"/>
      <c r="D102" s="4"/>
      <c r="E102" s="15">
        <f t="shared" si="4"/>
        <v>41963.494444444441</v>
      </c>
      <c r="F102" s="11">
        <f t="shared" si="3"/>
        <v>22.45</v>
      </c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</row>
    <row r="103" spans="1:64" s="1" customFormat="1" hidden="1" x14ac:dyDescent="0.3">
      <c r="A103" s="26" t="s">
        <v>150</v>
      </c>
      <c r="B103" s="12" t="s">
        <v>151</v>
      </c>
      <c r="C103" s="5"/>
      <c r="D103" s="5"/>
      <c r="E103" s="16"/>
      <c r="F103" s="12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</row>
    <row r="104" spans="1:64" s="1" customFormat="1" hidden="1" x14ac:dyDescent="0.3">
      <c r="A104" s="25"/>
      <c r="B104" s="4"/>
      <c r="C104" s="4"/>
      <c r="D104" s="4"/>
      <c r="E104" s="10"/>
      <c r="F104" s="13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</row>
    <row r="105" spans="1:64" s="1" customFormat="1" hidden="1" x14ac:dyDescent="0.3">
      <c r="A105" s="21">
        <v>590669963</v>
      </c>
      <c r="B105" s="5"/>
      <c r="C105" s="5"/>
      <c r="D105" s="5"/>
      <c r="E105" s="5"/>
      <c r="F105" s="14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</row>
    <row r="106" spans="1:64" s="1" customFormat="1" hidden="1" x14ac:dyDescent="0.3">
      <c r="A106" s="25" t="s">
        <v>22</v>
      </c>
      <c r="B106" s="4">
        <v>1590669963</v>
      </c>
      <c r="C106" s="4"/>
      <c r="D106" s="4"/>
      <c r="E106" s="4"/>
      <c r="F106" s="13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</row>
    <row r="107" spans="1:64" s="1" customFormat="1" hidden="1" x14ac:dyDescent="0.3">
      <c r="A107" s="26" t="s">
        <v>23</v>
      </c>
      <c r="B107" s="5">
        <v>1590669963</v>
      </c>
      <c r="C107" s="5"/>
      <c r="D107" s="5"/>
      <c r="E107" s="5"/>
      <c r="F107" s="14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</row>
    <row r="108" spans="1:64" s="1" customFormat="1" hidden="1" x14ac:dyDescent="0.3">
      <c r="A108" s="25" t="s">
        <v>24</v>
      </c>
      <c r="B108" s="4">
        <v>1590669963</v>
      </c>
      <c r="C108" s="4"/>
      <c r="D108" s="4"/>
      <c r="E108" s="4"/>
      <c r="F108" s="13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</row>
    <row r="109" spans="1:64" s="1" customFormat="1" hidden="1" x14ac:dyDescent="0.3">
      <c r="A109" s="6" t="s">
        <v>25</v>
      </c>
      <c r="B109" s="5">
        <v>1590669963</v>
      </c>
      <c r="C109" s="5"/>
      <c r="D109" s="5"/>
      <c r="E109" s="5"/>
      <c r="F109" s="14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</row>
    <row r="110" spans="1:64" s="1" customFormat="1" hidden="1" x14ac:dyDescent="0.3">
      <c r="A110" s="25" t="s">
        <v>26</v>
      </c>
      <c r="B110" s="4">
        <v>1590669963</v>
      </c>
      <c r="C110" s="4"/>
      <c r="D110" s="4"/>
      <c r="E110" s="4"/>
      <c r="F110" s="13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</row>
    <row r="111" spans="1:64" s="1" customFormat="1" hidden="1" x14ac:dyDescent="0.3">
      <c r="A111" s="26" t="s">
        <v>27</v>
      </c>
      <c r="B111" s="5">
        <v>1590669963</v>
      </c>
      <c r="C111" s="5"/>
      <c r="D111" s="5"/>
      <c r="E111" s="5"/>
      <c r="F111" s="14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</row>
    <row r="112" spans="1:64" hidden="1" x14ac:dyDescent="0.3">
      <c r="A112" s="27" t="s">
        <v>28</v>
      </c>
      <c r="B112">
        <v>1590669963</v>
      </c>
    </row>
    <row r="113" spans="1:2" hidden="1" x14ac:dyDescent="0.3">
      <c r="A113" s="27" t="s">
        <v>29</v>
      </c>
      <c r="B113">
        <v>1590669963</v>
      </c>
    </row>
    <row r="114" spans="1:2" hidden="1" x14ac:dyDescent="0.3">
      <c r="A114" s="27" t="s">
        <v>30</v>
      </c>
      <c r="B114">
        <v>1590669963</v>
      </c>
    </row>
    <row r="115" spans="1:2" hidden="1" x14ac:dyDescent="0.3">
      <c r="A115" s="27" t="s">
        <v>31</v>
      </c>
      <c r="B115">
        <v>1590669963</v>
      </c>
    </row>
    <row r="116" spans="1:2" hidden="1" x14ac:dyDescent="0.3">
      <c r="A116" s="27" t="s">
        <v>32</v>
      </c>
      <c r="B116">
        <v>1590669963</v>
      </c>
    </row>
    <row r="117" spans="1:2" hidden="1" x14ac:dyDescent="0.3">
      <c r="A117" s="27" t="s">
        <v>33</v>
      </c>
      <c r="B117">
        <v>1590669963</v>
      </c>
    </row>
    <row r="118" spans="1:2" hidden="1" x14ac:dyDescent="0.3">
      <c r="A118" s="27" t="s">
        <v>30</v>
      </c>
      <c r="B118">
        <v>1590669963</v>
      </c>
    </row>
    <row r="119" spans="1:2" hidden="1" x14ac:dyDescent="0.3">
      <c r="A119" s="27" t="s">
        <v>31</v>
      </c>
      <c r="B119">
        <v>1590669963</v>
      </c>
    </row>
    <row r="120" spans="1:2" hidden="1" x14ac:dyDescent="0.3">
      <c r="A120" s="27" t="s">
        <v>32</v>
      </c>
      <c r="B120">
        <v>1590669963</v>
      </c>
    </row>
    <row r="121" spans="1:2" hidden="1" x14ac:dyDescent="0.3">
      <c r="A121" s="27" t="s">
        <v>33</v>
      </c>
      <c r="B121">
        <v>1590669963</v>
      </c>
    </row>
  </sheetData>
  <mergeCells count="4">
    <mergeCell ref="B1:G1"/>
    <mergeCell ref="B2:G2"/>
    <mergeCell ref="K1:K2"/>
    <mergeCell ref="J1:J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Points">
          <controlPr defaultSize="0" autoLine="0" r:id="rId5">
            <anchor moveWithCells="1">
              <from>
                <xdr:col>7</xdr:col>
                <xdr:colOff>8092</xdr:colOff>
                <xdr:row>0</xdr:row>
                <xdr:rowOff>0</xdr:rowOff>
              </from>
              <to>
                <xdr:col>8</xdr:col>
                <xdr:colOff>801112</xdr:colOff>
                <xdr:row>1</xdr:row>
                <xdr:rowOff>226577</xdr:rowOff>
              </to>
            </anchor>
          </controlPr>
        </control>
      </mc:Choice>
      <mc:Fallback>
        <control shapeId="7169" r:id="rId4" name="CommandButtonPoin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77</vt:i4>
      </vt:variant>
    </vt:vector>
  </HeadingPairs>
  <TitlesOfParts>
    <vt:vector size="80" baseType="lpstr">
      <vt:lpstr>Home</vt:lpstr>
      <vt:lpstr>Données</vt:lpstr>
      <vt:lpstr>Points</vt:lpstr>
      <vt:lpstr>Données!CAPTURE</vt:lpstr>
      <vt:lpstr>Points!CAPTURE</vt:lpstr>
      <vt:lpstr>Données!CAPTURE_16</vt:lpstr>
      <vt:lpstr>Données!CAPTURE_17</vt:lpstr>
      <vt:lpstr>Données!CAPTURE_18</vt:lpstr>
      <vt:lpstr>Données!CAPTURE_19</vt:lpstr>
      <vt:lpstr>Données!CAPTURE_20</vt:lpstr>
      <vt:lpstr>Données!CAPTURE_21</vt:lpstr>
      <vt:lpstr>Données!CAPTURE_22</vt:lpstr>
      <vt:lpstr>Données!CAPTURE_23</vt:lpstr>
      <vt:lpstr>Données!CAPTURE_24</vt:lpstr>
      <vt:lpstr>Points!CAPTURE_24</vt:lpstr>
      <vt:lpstr>Données!CAPTURE_25</vt:lpstr>
      <vt:lpstr>Points!CAPTURE_25</vt:lpstr>
      <vt:lpstr>Données!CAPTURE_26</vt:lpstr>
      <vt:lpstr>Données!CAPTURE_27</vt:lpstr>
      <vt:lpstr>Données!CAPTURE_28</vt:lpstr>
      <vt:lpstr>Données!CAPTURE_29</vt:lpstr>
      <vt:lpstr>Données!CAPTURE_30</vt:lpstr>
      <vt:lpstr>Données!CAPTURE_31</vt:lpstr>
      <vt:lpstr>Points!CAPTURE_31</vt:lpstr>
      <vt:lpstr>Données!CAPTURE_32</vt:lpstr>
      <vt:lpstr>Points!CAPTURE_32</vt:lpstr>
      <vt:lpstr>Données!CAPTURE_33</vt:lpstr>
      <vt:lpstr>Points!CAPTURE_33</vt:lpstr>
      <vt:lpstr>Données!CAPTURE_34</vt:lpstr>
      <vt:lpstr>Points!CAPTURE_34</vt:lpstr>
      <vt:lpstr>Données!CAPTURE_35</vt:lpstr>
      <vt:lpstr>Points!CAPTURE_35</vt:lpstr>
      <vt:lpstr>Données!CAPTURE_36</vt:lpstr>
      <vt:lpstr>Points!CAPTURE_36</vt:lpstr>
      <vt:lpstr>Données!CAPTURE_37</vt:lpstr>
      <vt:lpstr>Points!CAPTURE_37</vt:lpstr>
      <vt:lpstr>Données!CAPTURE_38</vt:lpstr>
      <vt:lpstr>Points!CAPTURE_38</vt:lpstr>
      <vt:lpstr>Données!CAPTURE_39</vt:lpstr>
      <vt:lpstr>Points!CAPTURE_39</vt:lpstr>
      <vt:lpstr>Données!CAPTURE_40</vt:lpstr>
      <vt:lpstr>Points!CAPTURE_40</vt:lpstr>
      <vt:lpstr>Données!CAPTURE_41</vt:lpstr>
      <vt:lpstr>Points!CAPTURE_41</vt:lpstr>
      <vt:lpstr>Données!CAPTURE_42</vt:lpstr>
      <vt:lpstr>Points!CAPTURE_42</vt:lpstr>
      <vt:lpstr>Données!CAPTURE_43</vt:lpstr>
      <vt:lpstr>Points!CAPTURE_43</vt:lpstr>
      <vt:lpstr>Données!CAPTURE_44</vt:lpstr>
      <vt:lpstr>Points!CAPTURE_44</vt:lpstr>
      <vt:lpstr>Données!CAPTURE_45</vt:lpstr>
      <vt:lpstr>Points!CAPTURE_45</vt:lpstr>
      <vt:lpstr>Données!CAPTURE_46</vt:lpstr>
      <vt:lpstr>Points!CAPTURE_46</vt:lpstr>
      <vt:lpstr>Données!CAPTURE_47</vt:lpstr>
      <vt:lpstr>Points!CAPTURE_47</vt:lpstr>
      <vt:lpstr>Données!CAPTURE_48</vt:lpstr>
      <vt:lpstr>Points!CAPTURE_48</vt:lpstr>
      <vt:lpstr>Données!CAPTURE_49</vt:lpstr>
      <vt:lpstr>Points!CAPTURE_49</vt:lpstr>
      <vt:lpstr>Points!CAPTURE_50</vt:lpstr>
      <vt:lpstr>Points!CAPTURE_51</vt:lpstr>
      <vt:lpstr>Points!CAPTURE_52</vt:lpstr>
      <vt:lpstr>Points!CAPTURE_53</vt:lpstr>
      <vt:lpstr>Points!CAPTURE_54</vt:lpstr>
      <vt:lpstr>Points!CAPTURE_55</vt:lpstr>
      <vt:lpstr>Points!CAPTURE_56</vt:lpstr>
      <vt:lpstr>Points!CAPTURE_57</vt:lpstr>
      <vt:lpstr>Points!CAPTURE_58</vt:lpstr>
      <vt:lpstr>Points!CAPTURE_59</vt:lpstr>
      <vt:lpstr>Points!CAPTURE_60</vt:lpstr>
      <vt:lpstr>Points!CAPTURE_61</vt:lpstr>
      <vt:lpstr>Points!CAPTURE_62</vt:lpstr>
      <vt:lpstr>Points!CAPTURE_63</vt:lpstr>
      <vt:lpstr>Points!CAPTURE_64</vt:lpstr>
      <vt:lpstr>Points!CAPTURE_65</vt:lpstr>
      <vt:lpstr>Points!CAPTURE_66</vt:lpstr>
      <vt:lpstr>Points!CAPTURE_67</vt:lpstr>
      <vt:lpstr>Points!CAPTURE_68</vt:lpstr>
      <vt:lpstr>Points!CAPTURE_69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VOIGNIER</dc:creator>
  <cp:lastModifiedBy>Pascal TONIN</cp:lastModifiedBy>
  <dcterms:created xsi:type="dcterms:W3CDTF">2014-10-28T12:49:12Z</dcterms:created>
  <dcterms:modified xsi:type="dcterms:W3CDTF">2018-05-16T08:18:25Z</dcterms:modified>
</cp:coreProperties>
</file>